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1340" yWindow="1155" windowWidth="14805" windowHeight="8010"/>
  </bookViews>
  <sheets>
    <sheet name="稼働一覧" sheetId="1" r:id="rId1"/>
    <sheet name="渡辺一覧" sheetId="2" r:id="rId2"/>
    <sheet name="福田一覧" sheetId="10" r:id="rId3"/>
    <sheet name="木村一覧" sheetId="3" r:id="rId4"/>
    <sheet name="大村一覧" sheetId="4" r:id="rId5"/>
    <sheet name="中村一覧" sheetId="5" r:id="rId6"/>
    <sheet name="正社員" sheetId="6" r:id="rId7"/>
    <sheet name="契約社員" sheetId="7" r:id="rId8"/>
    <sheet name="個人事業主" sheetId="8" r:id="rId9"/>
    <sheet name="協力会社" sheetId="9" r:id="rId10"/>
  </sheets>
  <calcPr calcId="145621"/>
</workbook>
</file>

<file path=xl/calcChain.xml><?xml version="1.0" encoding="utf-8"?>
<calcChain xmlns="http://schemas.openxmlformats.org/spreadsheetml/2006/main">
  <c r="L7" i="2" l="1"/>
  <c r="M7" i="2"/>
  <c r="M8" i="2" s="1"/>
  <c r="P7" i="9"/>
  <c r="O7" i="9"/>
  <c r="N7" i="9"/>
  <c r="M7" i="9"/>
  <c r="L7" i="9"/>
  <c r="P6" i="9"/>
  <c r="O6" i="9"/>
  <c r="P5" i="9"/>
  <c r="O5" i="9"/>
  <c r="P7" i="8"/>
  <c r="O7" i="8"/>
  <c r="N7" i="8"/>
  <c r="M7" i="8"/>
  <c r="L7" i="8"/>
  <c r="P6" i="8"/>
  <c r="O6" i="8"/>
  <c r="P5" i="8"/>
  <c r="O5" i="8"/>
  <c r="P7" i="7"/>
  <c r="O7" i="7"/>
  <c r="N7" i="7"/>
  <c r="M7" i="7"/>
  <c r="L7" i="7"/>
  <c r="P6" i="7"/>
  <c r="O6" i="7"/>
  <c r="P5" i="7"/>
  <c r="O5" i="7"/>
  <c r="P7" i="6"/>
  <c r="O7" i="6"/>
  <c r="N7" i="6"/>
  <c r="M7" i="6"/>
  <c r="L7" i="6"/>
  <c r="P6" i="6"/>
  <c r="O6" i="6"/>
  <c r="P5" i="6"/>
  <c r="O5" i="6"/>
  <c r="M11" i="5"/>
  <c r="M10" i="5"/>
  <c r="S8" i="5"/>
  <c r="R8" i="5"/>
  <c r="Q8" i="5"/>
  <c r="P8" i="5"/>
  <c r="O8" i="5"/>
  <c r="N8" i="5"/>
  <c r="M8" i="5"/>
  <c r="L8" i="5"/>
  <c r="S7" i="5"/>
  <c r="R7" i="5"/>
  <c r="P7" i="5"/>
  <c r="O7" i="5"/>
  <c r="S6" i="5"/>
  <c r="R6" i="5"/>
  <c r="P6" i="5"/>
  <c r="O6" i="5"/>
  <c r="S5" i="5"/>
  <c r="R5" i="5"/>
  <c r="P5" i="5"/>
  <c r="O5" i="5"/>
  <c r="M11" i="4"/>
  <c r="M10" i="4"/>
  <c r="S8" i="4"/>
  <c r="R8" i="4"/>
  <c r="Q8" i="4"/>
  <c r="P8" i="4"/>
  <c r="O8" i="4"/>
  <c r="N8" i="4"/>
  <c r="M8" i="4"/>
  <c r="L8" i="4"/>
  <c r="S7" i="4"/>
  <c r="R7" i="4"/>
  <c r="P7" i="4"/>
  <c r="O7" i="4"/>
  <c r="S6" i="4"/>
  <c r="R6" i="4"/>
  <c r="P6" i="4"/>
  <c r="O6" i="4"/>
  <c r="S5" i="4"/>
  <c r="R5" i="4"/>
  <c r="P5" i="4"/>
  <c r="O5" i="4"/>
  <c r="M11" i="3"/>
  <c r="M10" i="3"/>
  <c r="S8" i="3"/>
  <c r="R8" i="3"/>
  <c r="Q8" i="3"/>
  <c r="P8" i="3"/>
  <c r="O8" i="3"/>
  <c r="N8" i="3"/>
  <c r="M8" i="3"/>
  <c r="L8" i="3"/>
  <c r="S7" i="3"/>
  <c r="R7" i="3"/>
  <c r="P7" i="3"/>
  <c r="O7" i="3"/>
  <c r="S6" i="3"/>
  <c r="R6" i="3"/>
  <c r="P6" i="3"/>
  <c r="O6" i="3"/>
  <c r="S5" i="3"/>
  <c r="R5" i="3"/>
  <c r="P5" i="3"/>
  <c r="O5" i="3"/>
  <c r="M11" i="10"/>
  <c r="M10" i="10"/>
  <c r="S8" i="10"/>
  <c r="R8" i="10"/>
  <c r="Q8" i="10"/>
  <c r="P8" i="10"/>
  <c r="O8" i="10"/>
  <c r="N8" i="10"/>
  <c r="M8" i="10"/>
  <c r="L8" i="10"/>
  <c r="S7" i="10"/>
  <c r="R7" i="10"/>
  <c r="P7" i="10"/>
  <c r="O7" i="10"/>
  <c r="S6" i="10"/>
  <c r="R6" i="10"/>
  <c r="P6" i="10"/>
  <c r="O6" i="10"/>
  <c r="S5" i="10"/>
  <c r="R5" i="10"/>
  <c r="P5" i="10"/>
  <c r="O5" i="10"/>
  <c r="Q8" i="2"/>
  <c r="N8" i="2"/>
  <c r="L8" i="2"/>
  <c r="R7" i="2"/>
  <c r="R8" i="2" s="1"/>
  <c r="M10" i="2" s="1"/>
  <c r="S6" i="2"/>
  <c r="R6" i="2"/>
  <c r="P6" i="2"/>
  <c r="O6" i="2"/>
  <c r="S5" i="2"/>
  <c r="R5" i="2"/>
  <c r="P5" i="2"/>
  <c r="O5" i="2"/>
  <c r="M15" i="1"/>
  <c r="M10" i="1"/>
  <c r="M9" i="1"/>
  <c r="P7" i="1"/>
  <c r="O7" i="1"/>
  <c r="N7" i="1"/>
  <c r="M7" i="1"/>
  <c r="L7" i="1"/>
  <c r="P6" i="1"/>
  <c r="O6" i="1"/>
  <c r="P5" i="1"/>
  <c r="O5" i="1"/>
  <c r="O7" i="2" l="1"/>
  <c r="O8" i="2" s="1"/>
  <c r="P8" i="2" s="1"/>
  <c r="Q7" i="10"/>
  <c r="M12" i="10" s="1"/>
  <c r="N7" i="10"/>
  <c r="M7" i="10"/>
  <c r="L7" i="10"/>
  <c r="P7" i="2" l="1"/>
  <c r="S7" i="2"/>
  <c r="S8" i="2" s="1"/>
  <c r="M11" i="2" s="1"/>
  <c r="Q7" i="5"/>
  <c r="N7" i="5"/>
  <c r="M7" i="5"/>
  <c r="L7" i="5"/>
  <c r="Q7" i="4"/>
  <c r="N7" i="4"/>
  <c r="M7" i="4"/>
  <c r="L7" i="4"/>
  <c r="Q7" i="3"/>
  <c r="N7" i="3"/>
  <c r="M7" i="3"/>
  <c r="L7" i="3"/>
  <c r="Q7" i="2"/>
  <c r="N7" i="2"/>
  <c r="M12" i="5" l="1"/>
  <c r="M12" i="4"/>
  <c r="M12" i="3"/>
  <c r="M12" i="2"/>
</calcChain>
</file>

<file path=xl/sharedStrings.xml><?xml version="1.0" encoding="utf-8"?>
<sst xmlns="http://schemas.openxmlformats.org/spreadsheetml/2006/main" count="450" uniqueCount="119">
  <si>
    <t>稼働開始日</t>
    <rPh sb="0" eb="2">
      <t>カドウ</t>
    </rPh>
    <rPh sb="2" eb="5">
      <t>カイシビ</t>
    </rPh>
    <phoneticPr fontId="10"/>
  </si>
  <si>
    <t>稼働終了日</t>
    <rPh sb="0" eb="2">
      <t>カドウ</t>
    </rPh>
    <rPh sb="2" eb="5">
      <t>シュウリョウビ</t>
    </rPh>
    <phoneticPr fontId="10"/>
  </si>
  <si>
    <t>エンド</t>
    <phoneticPr fontId="10"/>
  </si>
  <si>
    <t>元請</t>
    <rPh sb="0" eb="2">
      <t>モトウ</t>
    </rPh>
    <phoneticPr fontId="10"/>
  </si>
  <si>
    <t>案件元</t>
    <rPh sb="0" eb="2">
      <t>アンケン</t>
    </rPh>
    <rPh sb="2" eb="3">
      <t>モト</t>
    </rPh>
    <phoneticPr fontId="10"/>
  </si>
  <si>
    <t>案件元営業</t>
    <rPh sb="0" eb="2">
      <t>アンケン</t>
    </rPh>
    <rPh sb="2" eb="3">
      <t>モト</t>
    </rPh>
    <rPh sb="3" eb="5">
      <t>エイギョウ</t>
    </rPh>
    <phoneticPr fontId="10"/>
  </si>
  <si>
    <t>所属会社</t>
    <rPh sb="0" eb="2">
      <t>ショゾク</t>
    </rPh>
    <rPh sb="2" eb="4">
      <t>カイシャ</t>
    </rPh>
    <phoneticPr fontId="10"/>
  </si>
  <si>
    <t>所属会社営業</t>
    <rPh sb="0" eb="2">
      <t>ショゾク</t>
    </rPh>
    <rPh sb="2" eb="4">
      <t>カイシャ</t>
    </rPh>
    <rPh sb="4" eb="6">
      <t>エイギョウ</t>
    </rPh>
    <phoneticPr fontId="10"/>
  </si>
  <si>
    <t>技術者名</t>
    <rPh sb="0" eb="3">
      <t>ギジュツシャ</t>
    </rPh>
    <rPh sb="3" eb="4">
      <t>メイ</t>
    </rPh>
    <phoneticPr fontId="10"/>
  </si>
  <si>
    <t>スキル</t>
    <phoneticPr fontId="10"/>
  </si>
  <si>
    <t>売上</t>
    <rPh sb="0" eb="2">
      <t>ウリアゲ</t>
    </rPh>
    <phoneticPr fontId="10"/>
  </si>
  <si>
    <t>仕入</t>
    <rPh sb="0" eb="2">
      <t>シイレ</t>
    </rPh>
    <phoneticPr fontId="10"/>
  </si>
  <si>
    <t>法定福利</t>
    <rPh sb="0" eb="2">
      <t>ホウテイ</t>
    </rPh>
    <rPh sb="2" eb="4">
      <t>フクリ</t>
    </rPh>
    <phoneticPr fontId="10"/>
  </si>
  <si>
    <t>粗利益</t>
    <rPh sb="0" eb="3">
      <t>アラリエキ</t>
    </rPh>
    <phoneticPr fontId="10"/>
  </si>
  <si>
    <t>粗利率</t>
    <rPh sb="0" eb="2">
      <t>アラリ</t>
    </rPh>
    <rPh sb="2" eb="3">
      <t>リツ</t>
    </rPh>
    <phoneticPr fontId="10"/>
  </si>
  <si>
    <t>各社</t>
    <rPh sb="0" eb="2">
      <t>カクシャ</t>
    </rPh>
    <phoneticPr fontId="10"/>
  </si>
  <si>
    <t>AJ</t>
    <phoneticPr fontId="10"/>
  </si>
  <si>
    <r>
      <t>A</t>
    </r>
    <r>
      <rPr>
        <sz val="11"/>
        <color theme="1"/>
        <rFont val="ＭＳ Ｐゴシック"/>
        <family val="2"/>
        <scheme val="minor"/>
      </rPr>
      <t>J</t>
    </r>
    <phoneticPr fontId="10"/>
  </si>
  <si>
    <t>案件元営業さん</t>
    <rPh sb="0" eb="2">
      <t>アンケン</t>
    </rPh>
    <rPh sb="2" eb="3">
      <t>モト</t>
    </rPh>
    <rPh sb="3" eb="5">
      <t>エイギョウ</t>
    </rPh>
    <phoneticPr fontId="10"/>
  </si>
  <si>
    <t>グルーヴディレクション</t>
    <phoneticPr fontId="10"/>
  </si>
  <si>
    <t>大倉</t>
    <rPh sb="0" eb="2">
      <t>オオクラ</t>
    </rPh>
    <phoneticPr fontId="10"/>
  </si>
  <si>
    <t>佐藤　太郎</t>
    <rPh sb="0" eb="2">
      <t>サトウ</t>
    </rPh>
    <rPh sb="3" eb="5">
      <t>タロウ</t>
    </rPh>
    <phoneticPr fontId="10"/>
  </si>
  <si>
    <t>CISCO　設計構築</t>
    <rPh sb="6" eb="8">
      <t>セッケイ</t>
    </rPh>
    <rPh sb="8" eb="10">
      <t>コウチク</t>
    </rPh>
    <phoneticPr fontId="10"/>
  </si>
  <si>
    <t>〇〇工業</t>
    <rPh sb="2" eb="4">
      <t>コウギョウ</t>
    </rPh>
    <phoneticPr fontId="10"/>
  </si>
  <si>
    <t>案件元営業さん２</t>
    <rPh sb="0" eb="2">
      <t>アンケン</t>
    </rPh>
    <rPh sb="2" eb="3">
      <t>モト</t>
    </rPh>
    <rPh sb="3" eb="5">
      <t>エイギョウ</t>
    </rPh>
    <phoneticPr fontId="10"/>
  </si>
  <si>
    <t>山田　花子</t>
    <rPh sb="0" eb="2">
      <t>ヤマダ</t>
    </rPh>
    <rPh sb="3" eb="5">
      <t>ハナコ</t>
    </rPh>
    <phoneticPr fontId="10"/>
  </si>
  <si>
    <t>インフラ系　PL</t>
    <rPh sb="4" eb="5">
      <t>ケイ</t>
    </rPh>
    <phoneticPr fontId="10"/>
  </si>
  <si>
    <t>合計</t>
    <rPh sb="0" eb="2">
      <t>ゴウケイ</t>
    </rPh>
    <phoneticPr fontId="10"/>
  </si>
  <si>
    <t>平均売上</t>
    <rPh sb="0" eb="2">
      <t>ヘイキン</t>
    </rPh>
    <rPh sb="2" eb="4">
      <t>ウリアゲ</t>
    </rPh>
    <phoneticPr fontId="10"/>
  </si>
  <si>
    <t>平均利益</t>
    <rPh sb="0" eb="2">
      <t>ヘイキン</t>
    </rPh>
    <rPh sb="2" eb="4">
      <t>リエキ</t>
    </rPh>
    <phoneticPr fontId="10"/>
  </si>
  <si>
    <t>稼働件数</t>
    <rPh sb="0" eb="2">
      <t>カドウ</t>
    </rPh>
    <rPh sb="2" eb="4">
      <t>ケンスウ</t>
    </rPh>
    <phoneticPr fontId="10"/>
  </si>
  <si>
    <t>10月末落ち件数</t>
    <rPh sb="2" eb="3">
      <t>ガツ</t>
    </rPh>
    <rPh sb="3" eb="4">
      <t>マツ</t>
    </rPh>
    <rPh sb="4" eb="5">
      <t>オ</t>
    </rPh>
    <rPh sb="6" eb="8">
      <t>ケンスウ</t>
    </rPh>
    <phoneticPr fontId="10"/>
  </si>
  <si>
    <t>10月新規受注件数</t>
    <rPh sb="2" eb="3">
      <t>ガツ</t>
    </rPh>
    <rPh sb="3" eb="5">
      <t>シンキ</t>
    </rPh>
    <rPh sb="5" eb="7">
      <t>ジュチュウ</t>
    </rPh>
    <rPh sb="7" eb="9">
      <t>ケンスウ</t>
    </rPh>
    <phoneticPr fontId="10"/>
  </si>
  <si>
    <t>10月新規受注件数目標</t>
    <rPh sb="2" eb="3">
      <t>ガツ</t>
    </rPh>
    <rPh sb="3" eb="5">
      <t>シンキ</t>
    </rPh>
    <rPh sb="5" eb="7">
      <t>ジュチュウ</t>
    </rPh>
    <rPh sb="7" eb="9">
      <t>ケンスウ</t>
    </rPh>
    <rPh sb="9" eb="11">
      <t>モクヒョウ</t>
    </rPh>
    <phoneticPr fontId="10"/>
  </si>
  <si>
    <t>10月受注件数GAP</t>
    <rPh sb="2" eb="3">
      <t>ガツ</t>
    </rPh>
    <rPh sb="3" eb="5">
      <t>ジュチュウ</t>
    </rPh>
    <rPh sb="5" eb="7">
      <t>ケンスウ</t>
    </rPh>
    <phoneticPr fontId="10"/>
  </si>
  <si>
    <t>10月渡辺受注件数</t>
    <rPh sb="2" eb="3">
      <t>ガツ</t>
    </rPh>
    <rPh sb="3" eb="5">
      <t>ワタナベ</t>
    </rPh>
    <rPh sb="5" eb="7">
      <t>ジュチュウ</t>
    </rPh>
    <rPh sb="7" eb="9">
      <t>ケンスウ</t>
    </rPh>
    <phoneticPr fontId="10"/>
  </si>
  <si>
    <t>10月木村受注件数</t>
    <rPh sb="2" eb="3">
      <t>ガツ</t>
    </rPh>
    <rPh sb="3" eb="5">
      <t>キムラ</t>
    </rPh>
    <rPh sb="5" eb="7">
      <t>ジュチュウ</t>
    </rPh>
    <rPh sb="7" eb="9">
      <t>ケンスウ</t>
    </rPh>
    <phoneticPr fontId="10"/>
  </si>
  <si>
    <t>2.0/4</t>
    <phoneticPr fontId="10"/>
  </si>
  <si>
    <t>10月中村受注件数</t>
    <rPh sb="2" eb="3">
      <t>ガツ</t>
    </rPh>
    <rPh sb="3" eb="5">
      <t>ナカムラ</t>
    </rPh>
    <rPh sb="5" eb="7">
      <t>ジュチュウ</t>
    </rPh>
    <rPh sb="7" eb="9">
      <t>ケンスウ</t>
    </rPh>
    <phoneticPr fontId="10"/>
  </si>
  <si>
    <t>1/2.5</t>
    <phoneticPr fontId="10"/>
  </si>
  <si>
    <t>10月大村受注件数</t>
    <rPh sb="2" eb="3">
      <t>ガツ</t>
    </rPh>
    <rPh sb="3" eb="5">
      <t>オオムラ</t>
    </rPh>
    <rPh sb="5" eb="7">
      <t>ジュチュウ</t>
    </rPh>
    <rPh sb="7" eb="9">
      <t>ケンスウ</t>
    </rPh>
    <phoneticPr fontId="10"/>
  </si>
  <si>
    <t>0/2.5</t>
    <phoneticPr fontId="10"/>
  </si>
  <si>
    <t>10月大倉受注件数</t>
    <rPh sb="2" eb="3">
      <t>ガツ</t>
    </rPh>
    <rPh sb="3" eb="5">
      <t>オオクラ</t>
    </rPh>
    <rPh sb="5" eb="7">
      <t>ジュチュウ</t>
    </rPh>
    <rPh sb="7" eb="9">
      <t>ケンスウ</t>
    </rPh>
    <phoneticPr fontId="10"/>
  </si>
  <si>
    <t>スキル</t>
    <phoneticPr fontId="10"/>
  </si>
  <si>
    <t>件数</t>
    <rPh sb="0" eb="2">
      <t>ケンスウ</t>
    </rPh>
    <phoneticPr fontId="10"/>
  </si>
  <si>
    <t>実売上</t>
    <rPh sb="0" eb="1">
      <t>ジツ</t>
    </rPh>
    <rPh sb="1" eb="3">
      <t>ウリアゲ</t>
    </rPh>
    <phoneticPr fontId="10"/>
  </si>
  <si>
    <t>実粗利</t>
    <rPh sb="0" eb="1">
      <t>ジツ</t>
    </rPh>
    <rPh sb="1" eb="3">
      <t>アラリ</t>
    </rPh>
    <phoneticPr fontId="10"/>
  </si>
  <si>
    <t>〇〇電気</t>
    <rPh sb="2" eb="4">
      <t>デンキ</t>
    </rPh>
    <phoneticPr fontId="10"/>
  </si>
  <si>
    <t>田中</t>
    <rPh sb="0" eb="2">
      <t>タナカ</t>
    </rPh>
    <phoneticPr fontId="10"/>
  </si>
  <si>
    <t>〇〇システム</t>
    <phoneticPr fontId="10"/>
  </si>
  <si>
    <t>佐藤</t>
    <rPh sb="0" eb="2">
      <t>サトウ</t>
    </rPh>
    <phoneticPr fontId="10"/>
  </si>
  <si>
    <t>Linux-C</t>
    <phoneticPr fontId="10"/>
  </si>
  <si>
    <t>金融</t>
    <rPh sb="0" eb="2">
      <t>キンユウ</t>
    </rPh>
    <phoneticPr fontId="10"/>
  </si>
  <si>
    <t>〇〇ソフトウェア</t>
    <phoneticPr fontId="10"/>
  </si>
  <si>
    <t>〇〇テクノロジー</t>
    <phoneticPr fontId="10"/>
  </si>
  <si>
    <t>松田</t>
    <rPh sb="0" eb="2">
      <t>マツダ</t>
    </rPh>
    <phoneticPr fontId="10"/>
  </si>
  <si>
    <t>〇〇テクノロジー</t>
    <phoneticPr fontId="10"/>
  </si>
  <si>
    <t>鈴木</t>
    <rPh sb="0" eb="2">
      <t>スズキ</t>
    </rPh>
    <phoneticPr fontId="10"/>
  </si>
  <si>
    <t>Linux　Windows　運用</t>
    <rPh sb="14" eb="16">
      <t>ウンヨウ</t>
    </rPh>
    <phoneticPr fontId="10"/>
  </si>
  <si>
    <t>〇〇システム</t>
    <phoneticPr fontId="10"/>
  </si>
  <si>
    <t>VBA</t>
    <phoneticPr fontId="10"/>
  </si>
  <si>
    <t>A-STAR</t>
    <phoneticPr fontId="10"/>
  </si>
  <si>
    <t>エンド</t>
    <phoneticPr fontId="10"/>
  </si>
  <si>
    <t>スキル</t>
    <phoneticPr fontId="10"/>
  </si>
  <si>
    <t>〇〇システム</t>
    <phoneticPr fontId="10"/>
  </si>
  <si>
    <t>技術者１</t>
    <rPh sb="0" eb="2">
      <t>ギジュツ</t>
    </rPh>
    <rPh sb="2" eb="3">
      <t>シャ</t>
    </rPh>
    <phoneticPr fontId="10"/>
  </si>
  <si>
    <t>〇〇ソフトウェア</t>
    <phoneticPr fontId="10"/>
  </si>
  <si>
    <t>〇〇テクノロジー</t>
    <phoneticPr fontId="10"/>
  </si>
  <si>
    <t>技術者２</t>
    <rPh sb="0" eb="2">
      <t>ギジュツ</t>
    </rPh>
    <rPh sb="2" eb="3">
      <t>シャ</t>
    </rPh>
    <phoneticPr fontId="10"/>
  </si>
  <si>
    <t>〇〇ソフト</t>
    <phoneticPr fontId="10"/>
  </si>
  <si>
    <t>サイバーコム</t>
    <phoneticPr fontId="10"/>
  </si>
  <si>
    <t>技術者３</t>
    <rPh sb="0" eb="2">
      <t>ギジュツ</t>
    </rPh>
    <rPh sb="2" eb="3">
      <t>シャ</t>
    </rPh>
    <phoneticPr fontId="10"/>
  </si>
  <si>
    <t>エンド</t>
    <phoneticPr fontId="10"/>
  </si>
  <si>
    <t>〇〇テクノロジー</t>
    <phoneticPr fontId="10"/>
  </si>
  <si>
    <t>技術者４</t>
    <rPh sb="0" eb="2">
      <t>ギジュツ</t>
    </rPh>
    <rPh sb="2" eb="3">
      <t>シャ</t>
    </rPh>
    <phoneticPr fontId="10"/>
  </si>
  <si>
    <t>Linux-C</t>
    <phoneticPr fontId="10"/>
  </si>
  <si>
    <t>技術者５</t>
    <rPh sb="0" eb="2">
      <t>ギジュツ</t>
    </rPh>
    <rPh sb="2" eb="3">
      <t>シャ</t>
    </rPh>
    <phoneticPr fontId="10"/>
  </si>
  <si>
    <t>技術者６</t>
    <rPh sb="0" eb="2">
      <t>ギジュツ</t>
    </rPh>
    <rPh sb="2" eb="3">
      <t>シャ</t>
    </rPh>
    <phoneticPr fontId="10"/>
  </si>
  <si>
    <t>エンド</t>
    <phoneticPr fontId="10"/>
  </si>
  <si>
    <t>〇〇テクノロジー</t>
    <phoneticPr fontId="10"/>
  </si>
  <si>
    <t>技術者１０</t>
    <rPh sb="0" eb="2">
      <t>ギジュツ</t>
    </rPh>
    <rPh sb="2" eb="3">
      <t>シャ</t>
    </rPh>
    <phoneticPr fontId="10"/>
  </si>
  <si>
    <t>〇〇ソフトウェア</t>
    <phoneticPr fontId="10"/>
  </si>
  <si>
    <t>〇〇テクノロジー</t>
    <phoneticPr fontId="10"/>
  </si>
  <si>
    <t>技術者１１</t>
    <rPh sb="0" eb="2">
      <t>ギジュツ</t>
    </rPh>
    <rPh sb="2" eb="3">
      <t>シャ</t>
    </rPh>
    <phoneticPr fontId="10"/>
  </si>
  <si>
    <t>技術者１２</t>
    <rPh sb="0" eb="2">
      <t>ギジュツ</t>
    </rPh>
    <rPh sb="2" eb="3">
      <t>シャ</t>
    </rPh>
    <phoneticPr fontId="10"/>
  </si>
  <si>
    <t>A-STAR</t>
    <phoneticPr fontId="10"/>
  </si>
  <si>
    <t>エンド</t>
    <phoneticPr fontId="10"/>
  </si>
  <si>
    <t>技術者１３</t>
    <rPh sb="0" eb="2">
      <t>ギジュツ</t>
    </rPh>
    <rPh sb="2" eb="3">
      <t>シャ</t>
    </rPh>
    <phoneticPr fontId="10"/>
  </si>
  <si>
    <t>技術者１４</t>
    <rPh sb="0" eb="2">
      <t>ギジュツ</t>
    </rPh>
    <rPh sb="2" eb="3">
      <t>シャ</t>
    </rPh>
    <phoneticPr fontId="10"/>
  </si>
  <si>
    <t>技術者１５</t>
    <rPh sb="0" eb="2">
      <t>ギジュツ</t>
    </rPh>
    <rPh sb="2" eb="3">
      <t>シャ</t>
    </rPh>
    <phoneticPr fontId="10"/>
  </si>
  <si>
    <t>エンド</t>
    <phoneticPr fontId="10"/>
  </si>
  <si>
    <t>AJ</t>
    <phoneticPr fontId="10"/>
  </si>
  <si>
    <r>
      <t>A</t>
    </r>
    <r>
      <rPr>
        <sz val="11"/>
        <color theme="1"/>
        <rFont val="ＭＳ Ｐゴシック"/>
        <family val="2"/>
        <scheme val="minor"/>
      </rPr>
      <t>J</t>
    </r>
    <phoneticPr fontId="10"/>
  </si>
  <si>
    <t>グルーヴディレクション</t>
    <phoneticPr fontId="10"/>
  </si>
  <si>
    <t>技術者名１６</t>
    <rPh sb="0" eb="2">
      <t>ギジュツ</t>
    </rPh>
    <rPh sb="2" eb="3">
      <t>シャ</t>
    </rPh>
    <rPh sb="3" eb="4">
      <t>メイ</t>
    </rPh>
    <phoneticPr fontId="10"/>
  </si>
  <si>
    <t>AJ</t>
    <phoneticPr fontId="10"/>
  </si>
  <si>
    <r>
      <t>A</t>
    </r>
    <r>
      <rPr>
        <sz val="11"/>
        <color theme="1"/>
        <rFont val="ＭＳ Ｐゴシック"/>
        <family val="2"/>
        <scheme val="minor"/>
      </rPr>
      <t>J</t>
    </r>
    <phoneticPr fontId="10"/>
  </si>
  <si>
    <t>グルーヴディレクション</t>
    <phoneticPr fontId="10"/>
  </si>
  <si>
    <t>技術者名１７</t>
    <rPh sb="0" eb="2">
      <t>ギジュツ</t>
    </rPh>
    <rPh sb="2" eb="3">
      <t>シャ</t>
    </rPh>
    <rPh sb="3" eb="4">
      <t>メイ</t>
    </rPh>
    <phoneticPr fontId="10"/>
  </si>
  <si>
    <t>技術者名１８</t>
    <rPh sb="0" eb="2">
      <t>ギジュツ</t>
    </rPh>
    <rPh sb="2" eb="3">
      <t>シャ</t>
    </rPh>
    <rPh sb="3" eb="4">
      <t>メイ</t>
    </rPh>
    <phoneticPr fontId="10"/>
  </si>
  <si>
    <t>技術者名１９</t>
    <rPh sb="0" eb="2">
      <t>ギジュツ</t>
    </rPh>
    <rPh sb="2" eb="3">
      <t>シャ</t>
    </rPh>
    <rPh sb="3" eb="4">
      <t>メイ</t>
    </rPh>
    <phoneticPr fontId="10"/>
  </si>
  <si>
    <t>技術者名２０</t>
    <rPh sb="0" eb="2">
      <t>ギジュツ</t>
    </rPh>
    <rPh sb="2" eb="3">
      <t>シャ</t>
    </rPh>
    <rPh sb="3" eb="4">
      <t>メイ</t>
    </rPh>
    <phoneticPr fontId="10"/>
  </si>
  <si>
    <t>AJ</t>
    <phoneticPr fontId="10"/>
  </si>
  <si>
    <r>
      <t>A</t>
    </r>
    <r>
      <rPr>
        <sz val="11"/>
        <color theme="1"/>
        <rFont val="ＭＳ Ｐゴシック"/>
        <family val="2"/>
        <scheme val="minor"/>
      </rPr>
      <t>J</t>
    </r>
    <phoneticPr fontId="10"/>
  </si>
  <si>
    <t>グルーヴディレクション</t>
    <phoneticPr fontId="10"/>
  </si>
  <si>
    <t>技術者名２１</t>
    <rPh sb="0" eb="2">
      <t>ギジュツ</t>
    </rPh>
    <rPh sb="2" eb="3">
      <t>シャ</t>
    </rPh>
    <rPh sb="3" eb="4">
      <t>メイ</t>
    </rPh>
    <phoneticPr fontId="10"/>
  </si>
  <si>
    <t>技術者名２２</t>
    <rPh sb="0" eb="2">
      <t>ギジュツ</t>
    </rPh>
    <rPh sb="2" eb="3">
      <t>シャ</t>
    </rPh>
    <rPh sb="3" eb="4">
      <t>メイ</t>
    </rPh>
    <phoneticPr fontId="10"/>
  </si>
  <si>
    <t>技術者名２３</t>
    <rPh sb="0" eb="2">
      <t>ギジュツ</t>
    </rPh>
    <rPh sb="2" eb="3">
      <t>シャ</t>
    </rPh>
    <rPh sb="3" eb="4">
      <t>メイ</t>
    </rPh>
    <phoneticPr fontId="10"/>
  </si>
  <si>
    <t>BH</t>
    <phoneticPr fontId="10"/>
  </si>
  <si>
    <r>
      <t>2</t>
    </r>
    <r>
      <rPr>
        <sz val="11"/>
        <color theme="1"/>
        <rFont val="ＭＳ Ｐゴシック"/>
        <family val="2"/>
        <charset val="128"/>
        <scheme val="minor"/>
      </rPr>
      <t>012/05/14</t>
    </r>
    <phoneticPr fontId="7"/>
  </si>
  <si>
    <r>
      <t>2</t>
    </r>
    <r>
      <rPr>
        <sz val="11"/>
        <color theme="1"/>
        <rFont val="ＭＳ Ｐゴシック"/>
        <family val="2"/>
        <charset val="128"/>
        <scheme val="minor"/>
      </rPr>
      <t>021/10/20</t>
    </r>
    <phoneticPr fontId="7"/>
  </si>
  <si>
    <t>2021/10/21</t>
    <phoneticPr fontId="7"/>
  </si>
  <si>
    <r>
      <t>2</t>
    </r>
    <r>
      <rPr>
        <sz val="11"/>
        <color theme="1"/>
        <rFont val="ＭＳ Ｐゴシック"/>
        <family val="2"/>
        <charset val="128"/>
        <scheme val="minor"/>
      </rPr>
      <t>021/10/21</t>
    </r>
  </si>
  <si>
    <r>
      <t>2</t>
    </r>
    <r>
      <rPr>
        <sz val="11"/>
        <color theme="1"/>
        <rFont val="ＭＳ Ｐゴシック"/>
        <family val="2"/>
        <charset val="128"/>
        <scheme val="minor"/>
      </rPr>
      <t>021/10/22</t>
    </r>
  </si>
  <si>
    <r>
      <t>2</t>
    </r>
    <r>
      <rPr>
        <sz val="11"/>
        <color theme="1"/>
        <rFont val="ＭＳ Ｐゴシック"/>
        <family val="2"/>
        <charset val="128"/>
        <scheme val="minor"/>
      </rPr>
      <t>021/07/20</t>
    </r>
    <phoneticPr fontId="7"/>
  </si>
  <si>
    <r>
      <t>2</t>
    </r>
    <r>
      <rPr>
        <sz val="11"/>
        <color theme="1"/>
        <rFont val="ＭＳ Ｐゴシック"/>
        <family val="2"/>
        <charset val="128"/>
        <scheme val="minor"/>
      </rPr>
      <t>021/07/21</t>
    </r>
  </si>
  <si>
    <t>技術者３１</t>
    <rPh sb="0" eb="2">
      <t>ギジュツ</t>
    </rPh>
    <rPh sb="2" eb="3">
      <t>シャ</t>
    </rPh>
    <phoneticPr fontId="10"/>
  </si>
  <si>
    <t>技術者３２</t>
    <rPh sb="0" eb="2">
      <t>ギジュツ</t>
    </rPh>
    <rPh sb="2" eb="3">
      <t>シャ</t>
    </rPh>
    <phoneticPr fontId="10"/>
  </si>
  <si>
    <t>技術者３３</t>
    <rPh sb="0" eb="2">
      <t>ギジュツ</t>
    </rPh>
    <rPh sb="2" eb="3">
      <t>シャ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</si>
</sst>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¥&quot;#,##0;&quot;¥&quot;\-#,##0"/>
    <numFmt numFmtId="7" formatCode="&quot;¥&quot;#,##0.00;&quot;¥&quot;\-#,##0.00"/>
    <numFmt numFmtId="176" formatCode="0.0%"/>
    <numFmt numFmtId="177" formatCode="#,##0_ "/>
    <numFmt numFmtId="178" formatCode="#,##0.0_ "/>
    <numFmt numFmtId="179" formatCode="0.0_);[Red]\(0.0\)"/>
  </numFmts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DD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14" fontId="0" fillId="0" borderId="0" xfId="0" applyNumberFormat="1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shrinkToFit="1"/>
    </xf>
    <xf numFmtId="5" fontId="6" fillId="0" borderId="0" xfId="0" applyNumberFormat="1" applyFont="1" applyAlignment="1">
      <alignment vertical="center" shrinkToFit="1"/>
    </xf>
    <xf numFmtId="0" fontId="9" fillId="0" borderId="0" xfId="0" applyFont="1" applyAlignment="1">
      <alignment vertical="center"/>
    </xf>
    <xf numFmtId="0" fontId="9" fillId="2" borderId="1" xfId="0" applyFont="1" applyFill="1" applyBorder="1" applyAlignment="1">
      <alignment vertical="center" shrinkToFit="1"/>
    </xf>
    <xf numFmtId="5" fontId="9" fillId="2" borderId="1" xfId="0" applyNumberFormat="1" applyFont="1" applyFill="1" applyBorder="1" applyAlignment="1">
      <alignment vertical="center" shrinkToFit="1"/>
    </xf>
    <xf numFmtId="5" fontId="6" fillId="0" borderId="1" xfId="0" applyNumberFormat="1" applyFont="1" applyBorder="1" applyAlignment="1">
      <alignment vertical="center" shrinkToFit="1"/>
    </xf>
    <xf numFmtId="177" fontId="6" fillId="0" borderId="1" xfId="0" applyNumberFormat="1" applyFont="1" applyBorder="1" applyAlignment="1">
      <alignment vertical="center" shrinkToFit="1"/>
    </xf>
    <xf numFmtId="5" fontId="8" fillId="0" borderId="1" xfId="0" applyNumberFormat="1" applyFont="1" applyBorder="1" applyAlignment="1">
      <alignment vertical="center" shrinkToFit="1"/>
    </xf>
    <xf numFmtId="177" fontId="13" fillId="0" borderId="1" xfId="0" applyNumberFormat="1" applyFont="1" applyBorder="1" applyAlignment="1">
      <alignment vertical="center" shrinkToFit="1"/>
    </xf>
    <xf numFmtId="5" fontId="0" fillId="0" borderId="1" xfId="0" applyNumberFormat="1" applyBorder="1" applyAlignment="1">
      <alignment vertical="center" shrinkToFit="1"/>
    </xf>
    <xf numFmtId="178" fontId="6" fillId="0" borderId="1" xfId="0" applyNumberFormat="1" applyFont="1" applyBorder="1" applyAlignment="1">
      <alignment vertical="center" shrinkToFit="1"/>
    </xf>
    <xf numFmtId="179" fontId="0" fillId="0" borderId="1" xfId="0" applyNumberFormat="1" applyBorder="1" applyAlignment="1">
      <alignment horizontal="right" vertical="center" shrinkToFit="1"/>
    </xf>
    <xf numFmtId="12" fontId="0" fillId="0" borderId="1" xfId="0" applyNumberFormat="1" applyBorder="1" applyAlignment="1">
      <alignment horizontal="right" vertical="center" shrinkToFit="1"/>
    </xf>
    <xf numFmtId="0" fontId="12" fillId="0" borderId="2" xfId="0" applyFont="1" applyBorder="1" applyAlignment="1">
      <alignment vertical="center" shrinkToFit="1"/>
    </xf>
    <xf numFmtId="5" fontId="12" fillId="0" borderId="2" xfId="0" applyNumberFormat="1" applyFont="1" applyBorder="1" applyAlignment="1">
      <alignment vertical="center" shrinkToFit="1"/>
    </xf>
    <xf numFmtId="176" fontId="12" fillId="0" borderId="2" xfId="0" applyNumberFormat="1" applyFont="1" applyBorder="1" applyAlignment="1">
      <alignment vertical="center"/>
    </xf>
    <xf numFmtId="0" fontId="6" fillId="0" borderId="1" xfId="0" applyFont="1" applyBorder="1" applyAlignment="1">
      <alignment vertical="center" shrinkToFit="1"/>
    </xf>
    <xf numFmtId="0" fontId="0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vertical="center" shrinkToFit="1"/>
    </xf>
    <xf numFmtId="176" fontId="6" fillId="0" borderId="1" xfId="0" applyNumberFormat="1" applyFont="1" applyBorder="1" applyAlignment="1">
      <alignment vertical="center"/>
    </xf>
    <xf numFmtId="7" fontId="6" fillId="0" borderId="1" xfId="0" applyNumberFormat="1" applyFont="1" applyBorder="1" applyAlignment="1">
      <alignment vertical="center" shrinkToFit="1"/>
    </xf>
    <xf numFmtId="0" fontId="9" fillId="2" borderId="3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9" fillId="2" borderId="5" xfId="0" applyFont="1" applyFill="1" applyBorder="1" applyAlignment="1">
      <alignment vertical="center"/>
    </xf>
    <xf numFmtId="0" fontId="0" fillId="0" borderId="7" xfId="0" applyBorder="1" applyAlignment="1">
      <alignment vertical="center" shrinkToFit="1"/>
    </xf>
    <xf numFmtId="0" fontId="14" fillId="0" borderId="7" xfId="0" applyFont="1" applyBorder="1" applyAlignment="1">
      <alignment vertical="center" shrinkToFit="1"/>
    </xf>
    <xf numFmtId="5" fontId="0" fillId="0" borderId="7" xfId="0" applyNumberFormat="1" applyBorder="1" applyAlignment="1">
      <alignment vertical="center" shrinkToFit="1"/>
    </xf>
    <xf numFmtId="176" fontId="0" fillId="0" borderId="8" xfId="0" applyNumberFormat="1" applyBorder="1" applyAlignment="1">
      <alignment vertical="center"/>
    </xf>
    <xf numFmtId="0" fontId="0" fillId="0" borderId="9" xfId="0" applyBorder="1" applyAlignment="1">
      <alignment vertical="center"/>
    </xf>
    <xf numFmtId="5" fontId="0" fillId="0" borderId="7" xfId="0" applyNumberFormat="1" applyBorder="1" applyAlignment="1">
      <alignment vertical="center"/>
    </xf>
    <xf numFmtId="5" fontId="0" fillId="0" borderId="8" xfId="0" applyNumberFormat="1" applyBorder="1" applyAlignment="1">
      <alignment vertical="center"/>
    </xf>
    <xf numFmtId="0" fontId="11" fillId="0" borderId="7" xfId="0" applyFont="1" applyBorder="1" applyAlignment="1">
      <alignment vertical="center" shrinkToFit="1"/>
    </xf>
    <xf numFmtId="176" fontId="0" fillId="0" borderId="10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 shrinkToFit="1"/>
    </xf>
    <xf numFmtId="0" fontId="12" fillId="0" borderId="1" xfId="0" applyFont="1" applyBorder="1" applyAlignment="1">
      <alignment vertical="center" shrinkToFit="1"/>
    </xf>
    <xf numFmtId="5" fontId="12" fillId="0" borderId="1" xfId="0" applyNumberFormat="1" applyFont="1" applyBorder="1" applyAlignment="1">
      <alignment vertical="center" shrinkToFit="1"/>
    </xf>
    <xf numFmtId="176" fontId="12" fillId="0" borderId="1" xfId="0" applyNumberFormat="1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5" fontId="12" fillId="0" borderId="1" xfId="0" applyNumberFormat="1" applyFont="1" applyBorder="1" applyAlignment="1">
      <alignment vertical="center"/>
    </xf>
    <xf numFmtId="5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178" fontId="0" fillId="0" borderId="1" xfId="0" applyNumberFormat="1" applyBorder="1" applyAlignment="1">
      <alignment vertical="center" shrinkToFit="1"/>
    </xf>
    <xf numFmtId="0" fontId="5" fillId="0" borderId="0" xfId="0" applyFont="1" applyAlignment="1">
      <alignment vertical="center"/>
    </xf>
    <xf numFmtId="0" fontId="5" fillId="0" borderId="7" xfId="0" applyFont="1" applyBorder="1" applyAlignment="1">
      <alignment vertical="center" shrinkToFit="1"/>
    </xf>
    <xf numFmtId="0" fontId="0" fillId="0" borderId="7" xfId="0" applyFont="1" applyBorder="1" applyAlignment="1">
      <alignment vertical="center" shrinkToFit="1"/>
    </xf>
    <xf numFmtId="5" fontId="5" fillId="0" borderId="7" xfId="0" applyNumberFormat="1" applyFont="1" applyBorder="1" applyAlignment="1">
      <alignment vertical="center" shrinkToFit="1"/>
    </xf>
    <xf numFmtId="176" fontId="5" fillId="0" borderId="10" xfId="0" applyNumberFormat="1" applyFont="1" applyBorder="1" applyAlignment="1">
      <alignment vertical="center"/>
    </xf>
    <xf numFmtId="0" fontId="4" fillId="0" borderId="1" xfId="0" applyFont="1" applyBorder="1" applyAlignment="1">
      <alignment vertical="center" shrinkToFit="1"/>
    </xf>
    <xf numFmtId="49" fontId="0" fillId="0" borderId="0" xfId="0" applyNumberFormat="1" applyAlignment="1">
      <alignment vertical="center" shrinkToFit="1"/>
    </xf>
    <xf numFmtId="49" fontId="0" fillId="0" borderId="0" xfId="0" applyNumberFormat="1"/>
    <xf numFmtId="49" fontId="3" fillId="0" borderId="6" xfId="0" applyNumberFormat="1" applyFont="1" applyBorder="1" applyAlignment="1">
      <alignment vertical="center" shrinkToFit="1"/>
    </xf>
    <xf numFmtId="49" fontId="3" fillId="0" borderId="7" xfId="0" applyNumberFormat="1" applyFont="1" applyBorder="1" applyAlignment="1">
      <alignment vertical="center" shrinkToFit="1"/>
    </xf>
    <xf numFmtId="49" fontId="6" fillId="0" borderId="0" xfId="0" applyNumberFormat="1" applyFont="1" applyAlignment="1">
      <alignment vertical="center" shrinkToFit="1"/>
    </xf>
    <xf numFmtId="49" fontId="6" fillId="0" borderId="0" xfId="0" applyNumberFormat="1" applyFont="1" applyAlignment="1">
      <alignment vertical="center"/>
    </xf>
    <xf numFmtId="49" fontId="2" fillId="0" borderId="7" xfId="0" applyNumberFormat="1" applyFont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9525</xdr:rowOff>
        </xdr:from>
        <xdr:to>
          <xdr:col>19</xdr:col>
          <xdr:colOff>161925</xdr:colOff>
          <xdr:row>12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P5" sqref="P5"/>
    </sheetView>
  </sheetViews>
  <sheetFormatPr defaultRowHeight="13.5" x14ac:dyDescent="0.15"/>
  <cols>
    <col min="1" max="1" width="11.625" bestFit="1" customWidth="1"/>
    <col min="2" max="3" width="9" style="54"/>
  </cols>
  <sheetData>
    <row r="1" spans="1:16" x14ac:dyDescent="0.15">
      <c r="B1"/>
      <c r="C1"/>
    </row>
    <row r="2" spans="1:16" x14ac:dyDescent="0.15">
      <c r="A2" s="2"/>
      <c r="B2" s="2"/>
      <c r="C2"/>
    </row>
    <row r="3" spans="1:16" x14ac:dyDescent="0.15">
      <c r="A3" s="1"/>
      <c r="B3" s="2"/>
      <c r="C3"/>
    </row>
    <row r="4" spans="1:16" x14ac:dyDescent="0.15">
      <c r="A4" s="6"/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</row>
    <row r="5" spans="1:16" x14ac:dyDescent="0.15">
      <c r="A5" s="3">
        <v>1</v>
      </c>
      <c r="B5" s="55" t="s">
        <v>109</v>
      </c>
      <c r="C5" s="56" t="s">
        <v>110</v>
      </c>
      <c r="D5" s="20" t="s">
        <v>15</v>
      </c>
      <c r="E5" s="21" t="s">
        <v>16</v>
      </c>
      <c r="F5" s="21" t="s">
        <v>17</v>
      </c>
      <c r="G5" s="21" t="s">
        <v>18</v>
      </c>
      <c r="H5" s="20" t="s">
        <v>19</v>
      </c>
      <c r="I5" s="20" t="s">
        <v>20</v>
      </c>
      <c r="J5" s="22" t="s">
        <v>21</v>
      </c>
      <c r="K5" s="20" t="s">
        <v>22</v>
      </c>
      <c r="L5" s="9">
        <v>20</v>
      </c>
      <c r="M5" s="9">
        <v>10</v>
      </c>
      <c r="N5" s="9"/>
      <c r="O5" s="9">
        <f>L5-M5-N5</f>
        <v>10</v>
      </c>
      <c r="P5" s="23">
        <f>IF(VALUE(L5)&lt;=0,0,O5/L5)</f>
        <v>0.5</v>
      </c>
    </row>
    <row r="6" spans="1:16" x14ac:dyDescent="0.15">
      <c r="A6" s="3">
        <v>2</v>
      </c>
      <c r="B6" s="55" t="s">
        <v>109</v>
      </c>
      <c r="C6" s="56" t="s">
        <v>111</v>
      </c>
      <c r="D6" s="21" t="s">
        <v>23</v>
      </c>
      <c r="E6" s="52" t="s">
        <v>108</v>
      </c>
      <c r="F6" s="52" t="s">
        <v>108</v>
      </c>
      <c r="G6" s="21" t="s">
        <v>24</v>
      </c>
      <c r="H6" s="20" t="s">
        <v>19</v>
      </c>
      <c r="I6" s="20" t="s">
        <v>20</v>
      </c>
      <c r="J6" s="22" t="s">
        <v>25</v>
      </c>
      <c r="K6" s="20" t="s">
        <v>26</v>
      </c>
      <c r="L6" s="9">
        <v>10</v>
      </c>
      <c r="M6" s="9">
        <v>5</v>
      </c>
      <c r="N6" s="9"/>
      <c r="O6" s="9">
        <f>L6-M6-N6</f>
        <v>5</v>
      </c>
      <c r="P6" s="23">
        <f>IF(VALUE(L6)&lt;=0,0,O6/L6)</f>
        <v>0.5</v>
      </c>
    </row>
    <row r="7" spans="1:16" x14ac:dyDescent="0.15">
      <c r="A7" s="3"/>
      <c r="B7" s="57"/>
      <c r="C7" s="57"/>
      <c r="D7" s="4"/>
      <c r="E7" s="4"/>
      <c r="F7" s="4"/>
      <c r="G7" s="4"/>
      <c r="H7" s="4"/>
      <c r="I7" s="4"/>
      <c r="J7" s="4"/>
      <c r="K7" s="17" t="s">
        <v>27</v>
      </c>
      <c r="L7" s="18">
        <f>SUM(L5:L6)-SUM(0)</f>
        <v>30</v>
      </c>
      <c r="M7" s="18">
        <f>SUM(M5:M6)-SUM(0)</f>
        <v>15</v>
      </c>
      <c r="N7" s="18">
        <f>SUM(N5:N6)-SUM(0)</f>
        <v>0</v>
      </c>
      <c r="O7" s="18">
        <f>SUM(O5:O6)-SUM(0)</f>
        <v>15</v>
      </c>
      <c r="P7" s="19">
        <f>O7/L7</f>
        <v>0.5</v>
      </c>
    </row>
    <row r="8" spans="1:16" x14ac:dyDescent="0.15">
      <c r="A8" s="3"/>
      <c r="B8" s="57"/>
      <c r="C8" s="57"/>
      <c r="D8" s="4"/>
      <c r="E8" s="4"/>
      <c r="F8" s="4"/>
      <c r="G8" s="4"/>
      <c r="H8" s="4"/>
      <c r="I8" s="4"/>
      <c r="J8" s="4"/>
      <c r="K8" s="4"/>
      <c r="L8" s="5"/>
      <c r="M8" s="5"/>
      <c r="N8" s="5"/>
      <c r="O8" s="5"/>
      <c r="P8" s="3"/>
    </row>
    <row r="9" spans="1:16" x14ac:dyDescent="0.15">
      <c r="A9" s="3"/>
      <c r="B9" s="57"/>
      <c r="C9" s="57"/>
      <c r="D9" s="4"/>
      <c r="E9" s="4"/>
      <c r="F9" s="4"/>
      <c r="G9" s="4"/>
      <c r="H9" s="4"/>
      <c r="I9" s="4"/>
      <c r="J9" s="4"/>
      <c r="K9" s="4"/>
      <c r="L9" s="9" t="s">
        <v>28</v>
      </c>
      <c r="M9" s="24">
        <f>L7/M11</f>
        <v>15</v>
      </c>
      <c r="N9" s="5"/>
      <c r="O9" s="5"/>
      <c r="P9" s="3"/>
    </row>
    <row r="10" spans="1:16" x14ac:dyDescent="0.15">
      <c r="A10" s="3"/>
      <c r="B10" s="57"/>
      <c r="C10" s="57"/>
      <c r="D10" s="4"/>
      <c r="E10" s="4"/>
      <c r="F10" s="4"/>
      <c r="G10" s="4"/>
      <c r="H10" s="4"/>
      <c r="I10" s="4"/>
      <c r="J10" s="4"/>
      <c r="K10" s="4"/>
      <c r="L10" s="9" t="s">
        <v>29</v>
      </c>
      <c r="M10" s="9">
        <f>O7/M11</f>
        <v>7.5</v>
      </c>
      <c r="N10" s="5"/>
      <c r="O10" s="5"/>
      <c r="P10" s="3"/>
    </row>
    <row r="11" spans="1:16" x14ac:dyDescent="0.15">
      <c r="A11" s="3"/>
      <c r="B11" s="57"/>
      <c r="C11" s="57"/>
      <c r="D11" s="4"/>
      <c r="E11" s="4"/>
      <c r="F11" s="4"/>
      <c r="G11" s="4"/>
      <c r="H11" s="4"/>
      <c r="I11" s="4"/>
      <c r="J11" s="4"/>
      <c r="K11" s="4"/>
      <c r="L11" s="9" t="s">
        <v>30</v>
      </c>
      <c r="M11" s="10">
        <v>2</v>
      </c>
      <c r="N11" s="5"/>
      <c r="O11" s="5"/>
      <c r="P11" s="3"/>
    </row>
    <row r="12" spans="1:16" x14ac:dyDescent="0.15">
      <c r="A12" s="3"/>
      <c r="B12" s="57"/>
      <c r="C12" s="57"/>
      <c r="D12" s="4"/>
      <c r="E12" s="4"/>
      <c r="F12" s="4"/>
      <c r="G12" s="4"/>
      <c r="H12" s="4"/>
      <c r="I12" s="4"/>
      <c r="J12" s="4"/>
      <c r="K12" s="4"/>
      <c r="L12" s="11" t="s">
        <v>31</v>
      </c>
      <c r="M12" s="12">
        <v>8</v>
      </c>
      <c r="N12" s="5"/>
      <c r="O12" s="5"/>
      <c r="P12" s="3"/>
    </row>
    <row r="13" spans="1:16" x14ac:dyDescent="0.15">
      <c r="A13" s="3"/>
      <c r="B13" s="57"/>
      <c r="C13" s="57"/>
      <c r="D13" s="4"/>
      <c r="E13" s="4"/>
      <c r="F13" s="4"/>
      <c r="G13" s="4"/>
      <c r="H13" s="4"/>
      <c r="I13" s="4"/>
      <c r="J13" s="4"/>
      <c r="K13" s="4"/>
      <c r="L13" s="13" t="s">
        <v>32</v>
      </c>
      <c r="M13" s="14">
        <v>3</v>
      </c>
      <c r="N13" s="5"/>
      <c r="O13" s="5"/>
      <c r="P13" s="3"/>
    </row>
    <row r="14" spans="1:16" x14ac:dyDescent="0.15">
      <c r="A14" s="3"/>
      <c r="B14" s="57"/>
      <c r="C14" s="57"/>
      <c r="D14" s="4"/>
      <c r="E14" s="4"/>
      <c r="F14" s="4"/>
      <c r="G14" s="4"/>
      <c r="H14" s="4"/>
      <c r="I14" s="4"/>
      <c r="J14" s="4"/>
      <c r="K14" s="4"/>
      <c r="L14" s="13" t="s">
        <v>33</v>
      </c>
      <c r="M14" s="14">
        <v>9</v>
      </c>
      <c r="N14" s="5"/>
      <c r="O14" s="5"/>
      <c r="P14" s="3"/>
    </row>
    <row r="15" spans="1:16" x14ac:dyDescent="0.15">
      <c r="A15" s="3"/>
      <c r="B15" s="57"/>
      <c r="C15" s="57"/>
      <c r="D15" s="4"/>
      <c r="E15" s="4"/>
      <c r="F15" s="4"/>
      <c r="G15" s="4"/>
      <c r="H15" s="4"/>
      <c r="I15" s="4"/>
      <c r="J15" s="4"/>
      <c r="K15" s="4"/>
      <c r="L15" s="13" t="s">
        <v>34</v>
      </c>
      <c r="M15" s="14">
        <f>M14-M13</f>
        <v>6</v>
      </c>
      <c r="N15" s="5"/>
      <c r="O15" s="5"/>
      <c r="P15" s="3"/>
    </row>
    <row r="16" spans="1:16" x14ac:dyDescent="0.15">
      <c r="A16" s="3"/>
      <c r="B16" s="58"/>
      <c r="C16" s="58"/>
      <c r="D16" s="3"/>
      <c r="E16" s="3"/>
      <c r="F16" s="3"/>
      <c r="G16" s="3"/>
      <c r="H16" s="3"/>
      <c r="I16" s="3"/>
      <c r="J16" s="3"/>
      <c r="K16" s="3"/>
      <c r="L16" s="13" t="s">
        <v>35</v>
      </c>
      <c r="M16" s="15">
        <v>0</v>
      </c>
      <c r="N16" s="3"/>
      <c r="O16" s="3"/>
      <c r="P16" s="3"/>
    </row>
    <row r="17" spans="1:16" x14ac:dyDescent="0.15">
      <c r="A17" s="3"/>
      <c r="B17" s="58"/>
      <c r="C17" s="58"/>
      <c r="D17" s="3"/>
      <c r="E17" s="3"/>
      <c r="F17" s="3"/>
      <c r="G17" s="3"/>
      <c r="H17" s="3"/>
      <c r="I17" s="3"/>
      <c r="J17" s="3"/>
      <c r="K17" s="3"/>
      <c r="L17" s="13" t="s">
        <v>36</v>
      </c>
      <c r="M17" s="16" t="s">
        <v>37</v>
      </c>
      <c r="N17" s="3"/>
      <c r="O17" s="3"/>
      <c r="P17" s="3"/>
    </row>
    <row r="18" spans="1:16" x14ac:dyDescent="0.15">
      <c r="A18" s="3"/>
      <c r="B18" s="58"/>
      <c r="C18" s="58"/>
      <c r="D18" s="3"/>
      <c r="E18" s="3"/>
      <c r="F18" s="3"/>
      <c r="G18" s="3"/>
      <c r="H18" s="3"/>
      <c r="I18" s="3"/>
      <c r="J18" s="3"/>
      <c r="K18" s="3"/>
      <c r="L18" s="13" t="s">
        <v>38</v>
      </c>
      <c r="M18" s="16" t="s">
        <v>39</v>
      </c>
      <c r="N18" s="3"/>
      <c r="O18" s="3"/>
      <c r="P18" s="3"/>
    </row>
    <row r="19" spans="1:16" x14ac:dyDescent="0.15">
      <c r="A19" s="3"/>
      <c r="B19" s="57"/>
      <c r="C19" s="57"/>
      <c r="D19" s="4"/>
      <c r="E19" s="4"/>
      <c r="F19" s="4"/>
      <c r="G19" s="4"/>
      <c r="H19" s="4"/>
      <c r="I19" s="4"/>
      <c r="J19" s="4"/>
      <c r="K19" s="4"/>
      <c r="L19" s="13" t="s">
        <v>40</v>
      </c>
      <c r="M19" s="16" t="s">
        <v>41</v>
      </c>
      <c r="N19" s="5"/>
      <c r="O19" s="5"/>
      <c r="P19" s="3"/>
    </row>
    <row r="20" spans="1:16" x14ac:dyDescent="0.15">
      <c r="A20" s="3"/>
      <c r="B20" s="57"/>
      <c r="C20" s="57"/>
      <c r="D20" s="4"/>
      <c r="E20" s="4"/>
      <c r="F20" s="4"/>
      <c r="G20" s="4"/>
      <c r="H20" s="4"/>
      <c r="I20" s="4"/>
      <c r="J20" s="4"/>
      <c r="K20" s="4"/>
      <c r="L20" s="9" t="s">
        <v>42</v>
      </c>
      <c r="M20" s="14">
        <v>0</v>
      </c>
      <c r="N20" s="5"/>
      <c r="O20" s="5"/>
      <c r="P20" s="3"/>
    </row>
  </sheetData>
  <phoneticPr fontId="7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16</xdr:col>
                <xdr:colOff>0</xdr:colOff>
                <xdr:row>7</xdr:row>
                <xdr:rowOff>9525</xdr:rowOff>
              </from>
              <to>
                <xdr:col>19</xdr:col>
                <xdr:colOff>161925</xdr:colOff>
                <xdr:row>12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S13"/>
  <sheetViews>
    <sheetView workbookViewId="0">
      <selection activeCell="L7" sqref="L7"/>
    </sheetView>
  </sheetViews>
  <sheetFormatPr defaultRowHeight="13.5" x14ac:dyDescent="0.15"/>
  <cols>
    <col min="18" max="18" width="12" bestFit="1" customWidth="1"/>
    <col min="19" max="19" width="10.25" bestFit="1" customWidth="1"/>
  </cols>
  <sheetData>
    <row r="4" spans="1:19" x14ac:dyDescent="0.15">
      <c r="A4" s="6"/>
      <c r="B4" s="7" t="s">
        <v>0</v>
      </c>
      <c r="C4" s="7" t="s">
        <v>1</v>
      </c>
      <c r="D4" s="7" t="s">
        <v>62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63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  <c r="Q4" s="25" t="s">
        <v>44</v>
      </c>
      <c r="R4" s="26" t="s">
        <v>45</v>
      </c>
      <c r="S4" s="27" t="s">
        <v>46</v>
      </c>
    </row>
    <row r="5" spans="1:19" x14ac:dyDescent="0.15">
      <c r="A5" s="45">
        <v>1</v>
      </c>
      <c r="B5" s="55" t="s">
        <v>109</v>
      </c>
      <c r="C5" s="56" t="s">
        <v>110</v>
      </c>
      <c r="D5" s="28" t="s">
        <v>47</v>
      </c>
      <c r="E5" s="28"/>
      <c r="F5" s="28" t="s">
        <v>54</v>
      </c>
      <c r="G5" s="28" t="s">
        <v>48</v>
      </c>
      <c r="H5" s="28" t="s">
        <v>64</v>
      </c>
      <c r="I5" s="28" t="s">
        <v>50</v>
      </c>
      <c r="J5" s="29" t="s">
        <v>65</v>
      </c>
      <c r="K5" s="28" t="s">
        <v>51</v>
      </c>
      <c r="L5" s="30">
        <v>630000</v>
      </c>
      <c r="M5" s="30">
        <v>600000</v>
      </c>
      <c r="N5" s="30"/>
      <c r="O5" s="30">
        <f>L5-M5-N5</f>
        <v>30000</v>
      </c>
      <c r="P5" s="31">
        <f>IF(VALUE(L5)&lt;=0,0,O5/L5)</f>
        <v>4.7619047619047616E-2</v>
      </c>
      <c r="Q5" s="32">
        <v>0.5</v>
      </c>
      <c r="R5" s="33">
        <f>L5*Q5</f>
        <v>315000</v>
      </c>
      <c r="S5" s="34">
        <f>Q5*O5</f>
        <v>15000</v>
      </c>
    </row>
    <row r="6" spans="1:19" x14ac:dyDescent="0.15">
      <c r="A6" s="45">
        <v>2</v>
      </c>
      <c r="B6" s="55" t="s">
        <v>109</v>
      </c>
      <c r="C6" s="56" t="s">
        <v>112</v>
      </c>
      <c r="D6" s="28" t="s">
        <v>52</v>
      </c>
      <c r="E6" s="28" t="s">
        <v>66</v>
      </c>
      <c r="F6" s="28" t="s">
        <v>67</v>
      </c>
      <c r="G6" s="28" t="s">
        <v>55</v>
      </c>
      <c r="H6" s="28" t="s">
        <v>56</v>
      </c>
      <c r="I6" s="28" t="s">
        <v>57</v>
      </c>
      <c r="J6" s="29" t="s">
        <v>68</v>
      </c>
      <c r="K6" s="28" t="s">
        <v>58</v>
      </c>
      <c r="L6" s="30">
        <v>570000</v>
      </c>
      <c r="M6" s="30">
        <v>540000</v>
      </c>
      <c r="N6" s="30"/>
      <c r="O6" s="30">
        <f>L6-M6-N6</f>
        <v>30000</v>
      </c>
      <c r="P6" s="36">
        <f>IF(VALUE(L6)&lt;=0,0,O6/L6)</f>
        <v>5.2631578947368418E-2</v>
      </c>
      <c r="Q6" s="37">
        <v>1</v>
      </c>
      <c r="R6" s="33">
        <f>L6*Q6</f>
        <v>570000</v>
      </c>
      <c r="S6" s="34">
        <f>Q6*O6</f>
        <v>30000</v>
      </c>
    </row>
    <row r="7" spans="1:19" x14ac:dyDescent="0.15">
      <c r="A7" s="45">
        <v>3</v>
      </c>
      <c r="B7" s="55" t="s">
        <v>109</v>
      </c>
      <c r="C7" s="56" t="s">
        <v>113</v>
      </c>
      <c r="D7" s="28"/>
      <c r="E7" s="28" t="s">
        <v>69</v>
      </c>
      <c r="F7" s="28" t="s">
        <v>70</v>
      </c>
      <c r="G7" s="28" t="s">
        <v>57</v>
      </c>
      <c r="H7" s="28" t="s">
        <v>59</v>
      </c>
      <c r="I7" s="28" t="s">
        <v>48</v>
      </c>
      <c r="J7" s="29" t="s">
        <v>71</v>
      </c>
      <c r="K7" s="28" t="s">
        <v>60</v>
      </c>
      <c r="L7" s="30">
        <f>SUM(L5:L6)</f>
        <v>1200000</v>
      </c>
      <c r="M7" s="30">
        <f>SUM(M5:M6)</f>
        <v>1140000</v>
      </c>
      <c r="N7" s="30">
        <f>SUM(N5:N6)</f>
        <v>0</v>
      </c>
      <c r="O7" s="30">
        <f>L7-M7-N7</f>
        <v>60000</v>
      </c>
      <c r="P7" s="36">
        <f>IF(VALUE(L7)&lt;=0,0,O7/L7)</f>
        <v>0.05</v>
      </c>
      <c r="Q7" s="37">
        <f>SUM(Q5:Q6)</f>
        <v>1.5</v>
      </c>
      <c r="R7" s="33">
        <f>L7*Q7</f>
        <v>1800000</v>
      </c>
      <c r="S7" s="34">
        <f>Q7*O7</f>
        <v>90000</v>
      </c>
    </row>
    <row r="8" spans="1:19" x14ac:dyDescent="0.15">
      <c r="A8" s="45"/>
      <c r="B8" s="38"/>
      <c r="C8" s="38"/>
      <c r="D8" s="38"/>
      <c r="E8" s="38"/>
      <c r="F8" s="38"/>
      <c r="G8" s="38"/>
      <c r="H8" s="38"/>
      <c r="I8" s="38"/>
      <c r="J8" s="38"/>
      <c r="K8" s="39" t="s">
        <v>27</v>
      </c>
      <c r="L8" s="40">
        <f>SUM(L5:L7)-SUM(0)</f>
        <v>2400000</v>
      </c>
      <c r="M8" s="40">
        <f>SUM(M5:M7)-SUM(0)</f>
        <v>2280000</v>
      </c>
      <c r="N8" s="40">
        <f>SUM(N5:N7)-SUM(0)</f>
        <v>0</v>
      </c>
      <c r="O8" s="40">
        <f>SUM(O5:O7)-SUM(0)</f>
        <v>120000</v>
      </c>
      <c r="P8" s="41">
        <f>O8/L8</f>
        <v>0.05</v>
      </c>
      <c r="Q8" s="42">
        <f>SUM(Q5:Q7)-SUM(0)</f>
        <v>3</v>
      </c>
      <c r="R8" s="43">
        <f>SUM(R5:R7)-SUM(0)</f>
        <v>2685000</v>
      </c>
      <c r="S8" s="43">
        <f>SUM(S5:S7)-SUM(0)</f>
        <v>135000</v>
      </c>
    </row>
    <row r="9" spans="1:19" x14ac:dyDescent="0.15">
      <c r="A9" s="45"/>
      <c r="B9" s="38"/>
      <c r="C9" s="38"/>
      <c r="D9" s="38"/>
      <c r="E9" s="38"/>
      <c r="F9" s="38"/>
      <c r="G9" s="38"/>
      <c r="H9" s="38"/>
      <c r="I9" s="38"/>
      <c r="J9" s="38"/>
      <c r="K9" s="38"/>
      <c r="L9" s="44"/>
      <c r="M9" s="44"/>
      <c r="N9" s="44"/>
      <c r="O9" s="44"/>
      <c r="P9" s="45"/>
      <c r="Q9" s="45"/>
      <c r="R9" s="45"/>
      <c r="S9" s="45"/>
    </row>
    <row r="10" spans="1:19" x14ac:dyDescent="0.15">
      <c r="A10" s="45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13" t="s">
        <v>28</v>
      </c>
      <c r="M10" s="13">
        <f>R8/Q8</f>
        <v>895000</v>
      </c>
      <c r="N10" s="44"/>
      <c r="O10" s="44"/>
      <c r="P10" s="45"/>
      <c r="Q10" s="45"/>
      <c r="R10" s="45"/>
      <c r="S10" s="45"/>
    </row>
    <row r="11" spans="1:19" x14ac:dyDescent="0.15">
      <c r="A11" s="45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13" t="s">
        <v>29</v>
      </c>
      <c r="M11" s="13">
        <f>S8/Q8</f>
        <v>45000</v>
      </c>
      <c r="N11" s="44"/>
      <c r="O11" s="44"/>
      <c r="P11" s="45"/>
      <c r="Q11" s="45"/>
      <c r="R11" s="45"/>
      <c r="S11" s="45"/>
    </row>
    <row r="12" spans="1:19" x14ac:dyDescent="0.15">
      <c r="A12" s="45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13" t="s">
        <v>30</v>
      </c>
      <c r="M12" s="46">
        <f>SUM(Q8)</f>
        <v>3</v>
      </c>
      <c r="N12" s="44"/>
      <c r="O12" s="44"/>
      <c r="P12" s="45"/>
      <c r="Q12" s="45"/>
      <c r="R12" s="45"/>
      <c r="S12" s="45"/>
    </row>
    <row r="13" spans="1:19" x14ac:dyDescent="0.15">
      <c r="A13" s="45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13" t="s">
        <v>61</v>
      </c>
      <c r="M13" s="46">
        <v>1</v>
      </c>
      <c r="N13" s="44"/>
      <c r="O13" s="44"/>
      <c r="P13" s="45"/>
      <c r="Q13" s="45"/>
      <c r="R13" s="45"/>
      <c r="S13" s="45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4:S13"/>
  <sheetViews>
    <sheetView workbookViewId="0">
      <selection activeCell="J8" sqref="J8"/>
    </sheetView>
  </sheetViews>
  <sheetFormatPr defaultRowHeight="13.5" x14ac:dyDescent="0.15"/>
  <cols>
    <col min="18" max="18" width="12" bestFit="1" customWidth="1"/>
    <col min="19" max="19" width="10.25" bestFit="1" customWidth="1"/>
  </cols>
  <sheetData>
    <row r="4" spans="1:19" x14ac:dyDescent="0.15">
      <c r="A4" s="6"/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  <c r="Q4" s="25" t="s">
        <v>44</v>
      </c>
      <c r="R4" s="26" t="s">
        <v>45</v>
      </c>
      <c r="S4" s="27" t="s">
        <v>46</v>
      </c>
    </row>
    <row r="5" spans="1:19" x14ac:dyDescent="0.15">
      <c r="A5" s="45">
        <v>1</v>
      </c>
      <c r="B5" s="55" t="s">
        <v>109</v>
      </c>
      <c r="C5" s="56" t="s">
        <v>110</v>
      </c>
      <c r="D5" s="28" t="s">
        <v>47</v>
      </c>
      <c r="E5" s="28"/>
      <c r="F5" s="28" t="s">
        <v>54</v>
      </c>
      <c r="G5" s="28" t="s">
        <v>48</v>
      </c>
      <c r="H5" s="28" t="s">
        <v>49</v>
      </c>
      <c r="I5" s="28" t="s">
        <v>50</v>
      </c>
      <c r="J5" s="29" t="s">
        <v>116</v>
      </c>
      <c r="K5" s="28" t="s">
        <v>51</v>
      </c>
      <c r="L5" s="30">
        <v>630000</v>
      </c>
      <c r="M5" s="30">
        <v>600000</v>
      </c>
      <c r="N5" s="30"/>
      <c r="O5" s="30">
        <f>L5-M5-N5</f>
        <v>30000</v>
      </c>
      <c r="P5" s="31">
        <f>IF(VALUE(L5)&lt;=0,0,O5/L5)</f>
        <v>4.7619047619047616E-2</v>
      </c>
      <c r="Q5" s="32">
        <v>0.5</v>
      </c>
      <c r="R5" s="33">
        <f>L5*Q5</f>
        <v>315000</v>
      </c>
      <c r="S5" s="34">
        <f>Q5*O5</f>
        <v>15000</v>
      </c>
    </row>
    <row r="6" spans="1:19" x14ac:dyDescent="0.15">
      <c r="A6" s="45">
        <v>2</v>
      </c>
      <c r="B6" s="55" t="s">
        <v>109</v>
      </c>
      <c r="C6" s="56" t="s">
        <v>112</v>
      </c>
      <c r="D6" s="28" t="s">
        <v>52</v>
      </c>
      <c r="E6" s="28" t="s">
        <v>53</v>
      </c>
      <c r="F6" s="28" t="s">
        <v>54</v>
      </c>
      <c r="G6" s="28" t="s">
        <v>55</v>
      </c>
      <c r="H6" s="28" t="s">
        <v>54</v>
      </c>
      <c r="I6" s="28" t="s">
        <v>57</v>
      </c>
      <c r="J6" s="29" t="s">
        <v>117</v>
      </c>
      <c r="K6" s="28" t="s">
        <v>58</v>
      </c>
      <c r="L6" s="30">
        <v>570000</v>
      </c>
      <c r="M6" s="30">
        <v>540000</v>
      </c>
      <c r="N6" s="30"/>
      <c r="O6" s="30">
        <f>L6-M6-N6</f>
        <v>30000</v>
      </c>
      <c r="P6" s="36">
        <f>IF(VALUE(L6)&lt;=0,0,O6/L6)</f>
        <v>5.2631578947368418E-2</v>
      </c>
      <c r="Q6" s="37">
        <v>1</v>
      </c>
      <c r="R6" s="33">
        <f>L6*Q6</f>
        <v>570000</v>
      </c>
      <c r="S6" s="34">
        <f>Q6*O6</f>
        <v>30000</v>
      </c>
    </row>
    <row r="7" spans="1:19" x14ac:dyDescent="0.15">
      <c r="A7" s="45">
        <v>3</v>
      </c>
      <c r="B7" s="55" t="s">
        <v>109</v>
      </c>
      <c r="C7" s="56" t="s">
        <v>113</v>
      </c>
      <c r="D7" s="28"/>
      <c r="E7" s="28" t="s">
        <v>69</v>
      </c>
      <c r="F7" s="28" t="s">
        <v>70</v>
      </c>
      <c r="G7" s="28" t="s">
        <v>57</v>
      </c>
      <c r="H7" s="28" t="s">
        <v>49</v>
      </c>
      <c r="I7" s="28" t="s">
        <v>48</v>
      </c>
      <c r="J7" s="29" t="s">
        <v>118</v>
      </c>
      <c r="K7" s="28" t="s">
        <v>60</v>
      </c>
      <c r="L7" s="30">
        <f>SUM(L5:L6)</f>
        <v>1200000</v>
      </c>
      <c r="M7" s="30">
        <f>SUM(M5:M6)</f>
        <v>1140000</v>
      </c>
      <c r="N7" s="30">
        <f>SUM(N5:N6)</f>
        <v>0</v>
      </c>
      <c r="O7" s="30">
        <f>L7-M7-N7</f>
        <v>60000</v>
      </c>
      <c r="P7" s="36">
        <f>IF(VALUE(L7)&lt;=0,0,O7/L7)</f>
        <v>0.05</v>
      </c>
      <c r="Q7" s="37">
        <f>SUM(Q5:Q6)</f>
        <v>1.5</v>
      </c>
      <c r="R7" s="33">
        <f>L7*Q7</f>
        <v>1800000</v>
      </c>
      <c r="S7" s="34">
        <f>Q7*O7</f>
        <v>90000</v>
      </c>
    </row>
    <row r="8" spans="1:19" x14ac:dyDescent="0.15">
      <c r="A8" s="45"/>
      <c r="B8" s="38"/>
      <c r="C8" s="38"/>
      <c r="D8" s="38"/>
      <c r="E8" s="38"/>
      <c r="F8" s="38"/>
      <c r="G8" s="38"/>
      <c r="H8" s="38"/>
      <c r="I8" s="38"/>
      <c r="J8" s="38"/>
      <c r="K8" s="39" t="s">
        <v>27</v>
      </c>
      <c r="L8" s="40">
        <f>SUM(L5:L7)-SUM(0)</f>
        <v>2400000</v>
      </c>
      <c r="M8" s="40">
        <f>SUM(M5:M7)-SUM(0)</f>
        <v>2280000</v>
      </c>
      <c r="N8" s="40">
        <f>SUM(N5:N7)-SUM(0)</f>
        <v>0</v>
      </c>
      <c r="O8" s="40">
        <f>SUM(O5:O7)-SUM(0)</f>
        <v>120000</v>
      </c>
      <c r="P8" s="41">
        <f>O8/L8</f>
        <v>0.05</v>
      </c>
      <c r="Q8" s="42">
        <f>SUM(Q5:Q7)-SUM(0)</f>
        <v>3</v>
      </c>
      <c r="R8" s="43">
        <f>SUM(R5:R7)-SUM(0)</f>
        <v>2685000</v>
      </c>
      <c r="S8" s="43">
        <f>SUM(S5:S7)-SUM(0)</f>
        <v>135000</v>
      </c>
    </row>
    <row r="9" spans="1:19" x14ac:dyDescent="0.15">
      <c r="A9" s="45"/>
      <c r="B9" s="38"/>
      <c r="C9" s="38"/>
      <c r="D9" s="38"/>
      <c r="E9" s="38"/>
      <c r="F9" s="38"/>
      <c r="G9" s="38"/>
      <c r="H9" s="38"/>
      <c r="I9" s="38"/>
      <c r="J9" s="38"/>
      <c r="K9" s="38"/>
      <c r="L9" s="44"/>
      <c r="M9" s="44"/>
      <c r="N9" s="44"/>
      <c r="O9" s="44"/>
      <c r="P9" s="45"/>
      <c r="Q9" s="45"/>
      <c r="R9" s="45"/>
      <c r="S9" s="45"/>
    </row>
    <row r="10" spans="1:19" x14ac:dyDescent="0.15">
      <c r="A10" s="45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13" t="s">
        <v>28</v>
      </c>
      <c r="M10" s="13">
        <f>R8/Q8</f>
        <v>895000</v>
      </c>
      <c r="N10" s="44"/>
      <c r="O10" s="44"/>
      <c r="P10" s="45"/>
      <c r="Q10" s="45"/>
      <c r="R10" s="45"/>
      <c r="S10" s="45"/>
    </row>
    <row r="11" spans="1:19" x14ac:dyDescent="0.15">
      <c r="A11" s="45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13" t="s">
        <v>29</v>
      </c>
      <c r="M11" s="13">
        <f>S8/Q8</f>
        <v>45000</v>
      </c>
      <c r="N11" s="44"/>
      <c r="O11" s="44"/>
      <c r="P11" s="45"/>
      <c r="Q11" s="45"/>
      <c r="R11" s="45"/>
      <c r="S11" s="45"/>
    </row>
    <row r="12" spans="1:19" x14ac:dyDescent="0.15">
      <c r="A12" s="45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13" t="s">
        <v>30</v>
      </c>
      <c r="M12" s="46">
        <f>SUM(Q8)</f>
        <v>3</v>
      </c>
      <c r="N12" s="44"/>
      <c r="O12" s="44"/>
      <c r="P12" s="45"/>
      <c r="Q12" s="45"/>
      <c r="R12" s="45"/>
      <c r="S12" s="45"/>
    </row>
    <row r="13" spans="1:19" x14ac:dyDescent="0.15">
      <c r="A13" s="45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13" t="s">
        <v>61</v>
      </c>
      <c r="M13" s="46">
        <v>1</v>
      </c>
      <c r="N13" s="44"/>
      <c r="O13" s="44"/>
      <c r="P13" s="45"/>
      <c r="Q13" s="45"/>
      <c r="R13" s="45"/>
      <c r="S13" s="45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S13"/>
  <sheetViews>
    <sheetView workbookViewId="0">
      <selection activeCell="B5" sqref="B5:C7"/>
    </sheetView>
  </sheetViews>
  <sheetFormatPr defaultRowHeight="13.5" x14ac:dyDescent="0.15"/>
  <cols>
    <col min="18" max="18" width="12" bestFit="1" customWidth="1"/>
    <col min="19" max="19" width="10.25" bestFit="1" customWidth="1"/>
  </cols>
  <sheetData>
    <row r="4" spans="1:19" x14ac:dyDescent="0.15">
      <c r="A4" s="6"/>
      <c r="B4" s="7" t="s">
        <v>0</v>
      </c>
      <c r="C4" s="7" t="s">
        <v>1</v>
      </c>
      <c r="D4" s="7" t="s">
        <v>72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  <c r="Q4" s="25" t="s">
        <v>44</v>
      </c>
      <c r="R4" s="26" t="s">
        <v>45</v>
      </c>
      <c r="S4" s="27" t="s">
        <v>46</v>
      </c>
    </row>
    <row r="5" spans="1:19" x14ac:dyDescent="0.15">
      <c r="A5" s="45">
        <v>1</v>
      </c>
      <c r="B5" s="55" t="s">
        <v>109</v>
      </c>
      <c r="C5" s="56" t="s">
        <v>110</v>
      </c>
      <c r="D5" s="28" t="s">
        <v>47</v>
      </c>
      <c r="E5" s="28"/>
      <c r="F5" s="28" t="s">
        <v>73</v>
      </c>
      <c r="G5" s="28" t="s">
        <v>48</v>
      </c>
      <c r="H5" s="28" t="s">
        <v>64</v>
      </c>
      <c r="I5" s="28" t="s">
        <v>50</v>
      </c>
      <c r="J5" s="29" t="s">
        <v>74</v>
      </c>
      <c r="K5" s="28" t="s">
        <v>75</v>
      </c>
      <c r="L5" s="30">
        <v>630000</v>
      </c>
      <c r="M5" s="30">
        <v>600000</v>
      </c>
      <c r="N5" s="30"/>
      <c r="O5" s="30">
        <f>L5-M5-N5</f>
        <v>30000</v>
      </c>
      <c r="P5" s="31">
        <f>IF(VALUE(L5)&lt;=0,0,O5/L5)</f>
        <v>4.7619047619047616E-2</v>
      </c>
      <c r="Q5" s="32">
        <v>0.5</v>
      </c>
      <c r="R5" s="33">
        <f>L5*Q5</f>
        <v>315000</v>
      </c>
      <c r="S5" s="34">
        <f>Q5*O5</f>
        <v>15000</v>
      </c>
    </row>
    <row r="6" spans="1:19" x14ac:dyDescent="0.15">
      <c r="A6" s="45">
        <v>2</v>
      </c>
      <c r="B6" s="55" t="s">
        <v>109</v>
      </c>
      <c r="C6" s="56" t="s">
        <v>112</v>
      </c>
      <c r="D6" s="28" t="s">
        <v>52</v>
      </c>
      <c r="E6" s="28" t="s">
        <v>53</v>
      </c>
      <c r="F6" s="28" t="s">
        <v>54</v>
      </c>
      <c r="G6" s="28" t="s">
        <v>55</v>
      </c>
      <c r="H6" s="28" t="s">
        <v>54</v>
      </c>
      <c r="I6" s="28" t="s">
        <v>57</v>
      </c>
      <c r="J6" s="29" t="s">
        <v>76</v>
      </c>
      <c r="K6" s="28" t="s">
        <v>58</v>
      </c>
      <c r="L6" s="30">
        <v>570000</v>
      </c>
      <c r="M6" s="30">
        <v>540000</v>
      </c>
      <c r="N6" s="30"/>
      <c r="O6" s="30">
        <f>L6-M6-N6</f>
        <v>30000</v>
      </c>
      <c r="P6" s="36">
        <f>IF(VALUE(L6)&lt;=0,0,O6/L6)</f>
        <v>5.2631578947368418E-2</v>
      </c>
      <c r="Q6" s="37">
        <v>1</v>
      </c>
      <c r="R6" s="33">
        <f>L6*Q6</f>
        <v>570000</v>
      </c>
      <c r="S6" s="34">
        <f>Q6*O6</f>
        <v>30000</v>
      </c>
    </row>
    <row r="7" spans="1:19" x14ac:dyDescent="0.15">
      <c r="A7" s="45">
        <v>3</v>
      </c>
      <c r="B7" s="55" t="s">
        <v>109</v>
      </c>
      <c r="C7" s="56" t="s">
        <v>113</v>
      </c>
      <c r="D7" s="28"/>
      <c r="E7" s="28" t="s">
        <v>69</v>
      </c>
      <c r="F7" s="28" t="s">
        <v>70</v>
      </c>
      <c r="G7" s="28" t="s">
        <v>57</v>
      </c>
      <c r="H7" s="28" t="s">
        <v>59</v>
      </c>
      <c r="I7" s="28" t="s">
        <v>48</v>
      </c>
      <c r="J7" s="29" t="s">
        <v>77</v>
      </c>
      <c r="K7" s="28" t="s">
        <v>60</v>
      </c>
      <c r="L7" s="30">
        <f>SUM(L5:L6)</f>
        <v>1200000</v>
      </c>
      <c r="M7" s="30">
        <f>SUM(M5:M6)</f>
        <v>1140000</v>
      </c>
      <c r="N7" s="30">
        <f>SUM(N5:N6)</f>
        <v>0</v>
      </c>
      <c r="O7" s="30">
        <f>L7-M7-N7</f>
        <v>60000</v>
      </c>
      <c r="P7" s="36">
        <f>IF(VALUE(L7)&lt;=0,0,O7/L7)</f>
        <v>0.05</v>
      </c>
      <c r="Q7" s="37">
        <f>SUM(Q5:Q6)</f>
        <v>1.5</v>
      </c>
      <c r="R7" s="33">
        <f>L7*Q7</f>
        <v>1800000</v>
      </c>
      <c r="S7" s="34">
        <f>Q7*O7</f>
        <v>90000</v>
      </c>
    </row>
    <row r="8" spans="1:19" x14ac:dyDescent="0.15">
      <c r="A8" s="45"/>
      <c r="B8" s="38"/>
      <c r="C8" s="38"/>
      <c r="D8" s="38"/>
      <c r="E8" s="38"/>
      <c r="F8" s="38"/>
      <c r="G8" s="38"/>
      <c r="H8" s="38"/>
      <c r="I8" s="38"/>
      <c r="J8" s="38"/>
      <c r="K8" s="39" t="s">
        <v>27</v>
      </c>
      <c r="L8" s="40">
        <f>SUM(L5:L7)-SUM(0)</f>
        <v>2400000</v>
      </c>
      <c r="M8" s="40">
        <f>SUM(M5:M7)-SUM(0)</f>
        <v>2280000</v>
      </c>
      <c r="N8" s="40">
        <f>SUM(N5:N7)-SUM(0)</f>
        <v>0</v>
      </c>
      <c r="O8" s="40">
        <f>SUM(O5:O7)-SUM(0)</f>
        <v>120000</v>
      </c>
      <c r="P8" s="41">
        <f>O8/L8</f>
        <v>0.05</v>
      </c>
      <c r="Q8" s="42">
        <f>SUM(Q5:Q7)-SUM(0)</f>
        <v>3</v>
      </c>
      <c r="R8" s="43">
        <f>SUM(R5:R7)-SUM(0)</f>
        <v>2685000</v>
      </c>
      <c r="S8" s="43">
        <f>SUM(S5:S7)-SUM(0)</f>
        <v>135000</v>
      </c>
    </row>
    <row r="9" spans="1:19" x14ac:dyDescent="0.15">
      <c r="A9" s="45"/>
      <c r="B9" s="38"/>
      <c r="C9" s="38"/>
      <c r="D9" s="38"/>
      <c r="E9" s="38"/>
      <c r="F9" s="38"/>
      <c r="G9" s="38"/>
      <c r="H9" s="38"/>
      <c r="I9" s="38"/>
      <c r="J9" s="38"/>
      <c r="K9" s="38"/>
      <c r="L9" s="44"/>
      <c r="M9" s="44"/>
      <c r="N9" s="44"/>
      <c r="O9" s="44"/>
      <c r="P9" s="45"/>
      <c r="Q9" s="45"/>
      <c r="R9" s="45"/>
      <c r="S9" s="45"/>
    </row>
    <row r="10" spans="1:19" x14ac:dyDescent="0.15">
      <c r="A10" s="45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13" t="s">
        <v>28</v>
      </c>
      <c r="M10" s="13">
        <f>R8/Q8</f>
        <v>895000</v>
      </c>
      <c r="N10" s="44"/>
      <c r="O10" s="44"/>
      <c r="P10" s="45"/>
      <c r="Q10" s="45"/>
      <c r="R10" s="45"/>
      <c r="S10" s="45"/>
    </row>
    <row r="11" spans="1:19" x14ac:dyDescent="0.15">
      <c r="A11" s="45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13" t="s">
        <v>29</v>
      </c>
      <c r="M11" s="13">
        <f>S8/Q8</f>
        <v>45000</v>
      </c>
      <c r="N11" s="44"/>
      <c r="O11" s="44"/>
      <c r="P11" s="45"/>
      <c r="Q11" s="45"/>
      <c r="R11" s="45"/>
      <c r="S11" s="45"/>
    </row>
    <row r="12" spans="1:19" x14ac:dyDescent="0.15">
      <c r="A12" s="45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13" t="s">
        <v>30</v>
      </c>
      <c r="M12" s="46">
        <f>SUM(Q8)</f>
        <v>3</v>
      </c>
      <c r="N12" s="44"/>
      <c r="O12" s="44"/>
      <c r="P12" s="45"/>
      <c r="Q12" s="45"/>
      <c r="R12" s="45"/>
      <c r="S12" s="45"/>
    </row>
    <row r="13" spans="1:19" x14ac:dyDescent="0.15">
      <c r="A13" s="45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13" t="s">
        <v>61</v>
      </c>
      <c r="M13" s="46">
        <v>1</v>
      </c>
      <c r="N13" s="44"/>
      <c r="O13" s="44"/>
      <c r="P13" s="45"/>
      <c r="Q13" s="45"/>
      <c r="R13" s="45"/>
      <c r="S13" s="45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S13"/>
  <sheetViews>
    <sheetView workbookViewId="0">
      <selection activeCell="B5" sqref="B5:C7"/>
    </sheetView>
  </sheetViews>
  <sheetFormatPr defaultRowHeight="13.5" x14ac:dyDescent="0.15"/>
  <sheetData>
    <row r="4" spans="1:19" x14ac:dyDescent="0.15">
      <c r="A4" s="6"/>
      <c r="B4" s="7" t="s">
        <v>0</v>
      </c>
      <c r="C4" s="7" t="s">
        <v>1</v>
      </c>
      <c r="D4" s="7" t="s">
        <v>78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43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  <c r="Q4" s="25" t="s">
        <v>44</v>
      </c>
      <c r="R4" s="26" t="s">
        <v>45</v>
      </c>
      <c r="S4" s="27" t="s">
        <v>46</v>
      </c>
    </row>
    <row r="5" spans="1:19" x14ac:dyDescent="0.15">
      <c r="A5" s="45">
        <v>1</v>
      </c>
      <c r="B5" s="55" t="s">
        <v>109</v>
      </c>
      <c r="C5" s="56" t="s">
        <v>110</v>
      </c>
      <c r="D5" s="28" t="s">
        <v>47</v>
      </c>
      <c r="E5" s="28"/>
      <c r="F5" s="28" t="s">
        <v>79</v>
      </c>
      <c r="G5" s="28" t="s">
        <v>48</v>
      </c>
      <c r="H5" s="28" t="s">
        <v>49</v>
      </c>
      <c r="I5" s="28" t="s">
        <v>50</v>
      </c>
      <c r="J5" s="29" t="s">
        <v>80</v>
      </c>
      <c r="K5" s="28" t="s">
        <v>51</v>
      </c>
      <c r="L5" s="30">
        <v>630000</v>
      </c>
      <c r="M5" s="30">
        <v>600000</v>
      </c>
      <c r="N5" s="30"/>
      <c r="O5" s="30">
        <f>L5-M5-N5</f>
        <v>30000</v>
      </c>
      <c r="P5" s="31">
        <f>IF(VALUE(L5)&lt;=0,0,O5/L5)</f>
        <v>4.7619047619047616E-2</v>
      </c>
      <c r="Q5" s="32">
        <v>0.5</v>
      </c>
      <c r="R5" s="33">
        <f>L5*Q5</f>
        <v>315000</v>
      </c>
      <c r="S5" s="34">
        <f>Q5*O5</f>
        <v>15000</v>
      </c>
    </row>
    <row r="6" spans="1:19" x14ac:dyDescent="0.15">
      <c r="A6" s="45">
        <v>2</v>
      </c>
      <c r="B6" s="55" t="s">
        <v>109</v>
      </c>
      <c r="C6" s="56" t="s">
        <v>112</v>
      </c>
      <c r="D6" s="28" t="s">
        <v>52</v>
      </c>
      <c r="E6" s="28" t="s">
        <v>81</v>
      </c>
      <c r="F6" s="28" t="s">
        <v>82</v>
      </c>
      <c r="G6" s="28" t="s">
        <v>55</v>
      </c>
      <c r="H6" s="28" t="s">
        <v>56</v>
      </c>
      <c r="I6" s="28" t="s">
        <v>57</v>
      </c>
      <c r="J6" s="29" t="s">
        <v>83</v>
      </c>
      <c r="K6" s="28" t="s">
        <v>58</v>
      </c>
      <c r="L6" s="30">
        <v>570000</v>
      </c>
      <c r="M6" s="30">
        <v>540000</v>
      </c>
      <c r="N6" s="30"/>
      <c r="O6" s="30">
        <f>L6-M6-N6</f>
        <v>30000</v>
      </c>
      <c r="P6" s="36">
        <f>IF(VALUE(L6)&lt;=0,0,O6/L6)</f>
        <v>5.2631578947368418E-2</v>
      </c>
      <c r="Q6" s="37">
        <v>1</v>
      </c>
      <c r="R6" s="33">
        <f>L6*Q6</f>
        <v>570000</v>
      </c>
      <c r="S6" s="34">
        <f>Q6*O6</f>
        <v>30000</v>
      </c>
    </row>
    <row r="7" spans="1:19" x14ac:dyDescent="0.15">
      <c r="A7" s="45">
        <v>3</v>
      </c>
      <c r="B7" s="55" t="s">
        <v>109</v>
      </c>
      <c r="C7" s="56" t="s">
        <v>113</v>
      </c>
      <c r="D7" s="28"/>
      <c r="E7" s="28" t="s">
        <v>69</v>
      </c>
      <c r="F7" s="28" t="s">
        <v>70</v>
      </c>
      <c r="G7" s="28" t="s">
        <v>57</v>
      </c>
      <c r="H7" s="28" t="s">
        <v>59</v>
      </c>
      <c r="I7" s="28" t="s">
        <v>48</v>
      </c>
      <c r="J7" s="29" t="s">
        <v>84</v>
      </c>
      <c r="K7" s="28" t="s">
        <v>60</v>
      </c>
      <c r="L7" s="30">
        <f>SUM(L5:L6)</f>
        <v>1200000</v>
      </c>
      <c r="M7" s="30">
        <f>SUM(M5:M6)</f>
        <v>1140000</v>
      </c>
      <c r="N7" s="30">
        <f>SUM(N5:N6)</f>
        <v>0</v>
      </c>
      <c r="O7" s="30">
        <f>L7-M7-N7</f>
        <v>60000</v>
      </c>
      <c r="P7" s="36">
        <f>IF(VALUE(L7)&lt;=0,0,O7/L7)</f>
        <v>0.05</v>
      </c>
      <c r="Q7" s="37">
        <f>SUM(Q5:Q6)</f>
        <v>1.5</v>
      </c>
      <c r="R7" s="33">
        <f>L7*Q7</f>
        <v>1800000</v>
      </c>
      <c r="S7" s="34">
        <f>Q7*O7</f>
        <v>90000</v>
      </c>
    </row>
    <row r="8" spans="1:19" x14ac:dyDescent="0.15">
      <c r="A8" s="45"/>
      <c r="B8" s="38"/>
      <c r="C8" s="38"/>
      <c r="D8" s="38"/>
      <c r="E8" s="38"/>
      <c r="F8" s="38"/>
      <c r="G8" s="38"/>
      <c r="H8" s="38"/>
      <c r="I8" s="38"/>
      <c r="J8" s="38"/>
      <c r="K8" s="39" t="s">
        <v>27</v>
      </c>
      <c r="L8" s="40">
        <f>SUM(L5:L7)-SUM(0)</f>
        <v>2400000</v>
      </c>
      <c r="M8" s="40">
        <f>SUM(M5:M7)-SUM(0)</f>
        <v>2280000</v>
      </c>
      <c r="N8" s="40">
        <f>SUM(N5:N7)-SUM(0)</f>
        <v>0</v>
      </c>
      <c r="O8" s="40">
        <f>SUM(O5:O7)-SUM(0)</f>
        <v>120000</v>
      </c>
      <c r="P8" s="41">
        <f>O8/L8</f>
        <v>0.05</v>
      </c>
      <c r="Q8" s="42">
        <f>SUM(Q5:Q7)-SUM(0)</f>
        <v>3</v>
      </c>
      <c r="R8" s="43">
        <f>SUM(R5:R7)-SUM(0)</f>
        <v>2685000</v>
      </c>
      <c r="S8" s="43">
        <f>SUM(S5:S7)-SUM(0)</f>
        <v>135000</v>
      </c>
    </row>
    <row r="9" spans="1:19" x14ac:dyDescent="0.15">
      <c r="A9" s="45"/>
      <c r="B9" s="38"/>
      <c r="C9" s="38"/>
      <c r="D9" s="38"/>
      <c r="E9" s="38"/>
      <c r="F9" s="38"/>
      <c r="G9" s="38"/>
      <c r="H9" s="38"/>
      <c r="I9" s="38"/>
      <c r="J9" s="38"/>
      <c r="K9" s="38"/>
      <c r="L9" s="44"/>
      <c r="M9" s="44"/>
      <c r="N9" s="44"/>
      <c r="O9" s="44"/>
      <c r="P9" s="45"/>
      <c r="Q9" s="45"/>
      <c r="R9" s="45"/>
      <c r="S9" s="45"/>
    </row>
    <row r="10" spans="1:19" x14ac:dyDescent="0.15">
      <c r="A10" s="45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13" t="s">
        <v>28</v>
      </c>
      <c r="M10" s="13">
        <f>R8/Q8</f>
        <v>895000</v>
      </c>
      <c r="N10" s="44"/>
      <c r="O10" s="44"/>
      <c r="P10" s="45"/>
      <c r="Q10" s="45"/>
      <c r="R10" s="45"/>
      <c r="S10" s="45"/>
    </row>
    <row r="11" spans="1:19" x14ac:dyDescent="0.15">
      <c r="A11" s="45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13" t="s">
        <v>29</v>
      </c>
      <c r="M11" s="13">
        <f>S8/Q8</f>
        <v>45000</v>
      </c>
      <c r="N11" s="44"/>
      <c r="O11" s="44"/>
      <c r="P11" s="45"/>
      <c r="Q11" s="45"/>
      <c r="R11" s="45"/>
      <c r="S11" s="45"/>
    </row>
    <row r="12" spans="1:19" x14ac:dyDescent="0.15">
      <c r="A12" s="45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13" t="s">
        <v>30</v>
      </c>
      <c r="M12" s="46">
        <f>SUM(Q8)</f>
        <v>3</v>
      </c>
      <c r="N12" s="44"/>
      <c r="O12" s="44"/>
      <c r="P12" s="45"/>
      <c r="Q12" s="45"/>
      <c r="R12" s="45"/>
      <c r="S12" s="45"/>
    </row>
    <row r="13" spans="1:19" x14ac:dyDescent="0.15">
      <c r="A13" s="45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13" t="s">
        <v>85</v>
      </c>
      <c r="M13" s="46">
        <v>1</v>
      </c>
      <c r="N13" s="44"/>
      <c r="O13" s="44"/>
      <c r="P13" s="45"/>
      <c r="Q13" s="45"/>
      <c r="R13" s="45"/>
      <c r="S13" s="45"/>
    </row>
  </sheetData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S13"/>
  <sheetViews>
    <sheetView workbookViewId="0">
      <selection activeCell="B5" sqref="B5:C7"/>
    </sheetView>
  </sheetViews>
  <sheetFormatPr defaultRowHeight="13.5" x14ac:dyDescent="0.15"/>
  <sheetData>
    <row r="4" spans="1:19" x14ac:dyDescent="0.15">
      <c r="A4" s="6"/>
      <c r="B4" s="7" t="s">
        <v>0</v>
      </c>
      <c r="C4" s="7" t="s">
        <v>1</v>
      </c>
      <c r="D4" s="7" t="s">
        <v>86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43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  <c r="Q4" s="25" t="s">
        <v>44</v>
      </c>
      <c r="R4" s="26" t="s">
        <v>45</v>
      </c>
      <c r="S4" s="27" t="s">
        <v>46</v>
      </c>
    </row>
    <row r="5" spans="1:19" x14ac:dyDescent="0.15">
      <c r="A5" s="45">
        <v>1</v>
      </c>
      <c r="B5" s="55" t="s">
        <v>109</v>
      </c>
      <c r="C5" s="56" t="s">
        <v>110</v>
      </c>
      <c r="D5" s="28" t="s">
        <v>47</v>
      </c>
      <c r="E5" s="28"/>
      <c r="F5" s="28" t="s">
        <v>79</v>
      </c>
      <c r="G5" s="28" t="s">
        <v>48</v>
      </c>
      <c r="H5" s="28" t="s">
        <v>49</v>
      </c>
      <c r="I5" s="28" t="s">
        <v>50</v>
      </c>
      <c r="J5" s="29" t="s">
        <v>87</v>
      </c>
      <c r="K5" s="28" t="s">
        <v>51</v>
      </c>
      <c r="L5" s="30">
        <v>630000</v>
      </c>
      <c r="M5" s="30">
        <v>600000</v>
      </c>
      <c r="N5" s="30"/>
      <c r="O5" s="30">
        <f>L5-M5-N5</f>
        <v>30000</v>
      </c>
      <c r="P5" s="31">
        <f>IF(VALUE(L5)&lt;=0,0,O5/L5)</f>
        <v>4.7619047619047616E-2</v>
      </c>
      <c r="Q5" s="32">
        <v>0.5</v>
      </c>
      <c r="R5" s="33">
        <f>L5*Q5</f>
        <v>315000</v>
      </c>
      <c r="S5" s="34">
        <f>Q5*O5</f>
        <v>15000</v>
      </c>
    </row>
    <row r="6" spans="1:19" x14ac:dyDescent="0.15">
      <c r="A6" s="45">
        <v>2</v>
      </c>
      <c r="B6" s="55" t="s">
        <v>109</v>
      </c>
      <c r="C6" s="56" t="s">
        <v>112</v>
      </c>
      <c r="D6" s="28" t="s">
        <v>52</v>
      </c>
      <c r="E6" s="28" t="s">
        <v>81</v>
      </c>
      <c r="F6" s="28" t="s">
        <v>82</v>
      </c>
      <c r="G6" s="28" t="s">
        <v>55</v>
      </c>
      <c r="H6" s="28" t="s">
        <v>56</v>
      </c>
      <c r="I6" s="28" t="s">
        <v>57</v>
      </c>
      <c r="J6" s="29" t="s">
        <v>88</v>
      </c>
      <c r="K6" s="28" t="s">
        <v>58</v>
      </c>
      <c r="L6" s="30">
        <v>570000</v>
      </c>
      <c r="M6" s="30">
        <v>540000</v>
      </c>
      <c r="N6" s="30"/>
      <c r="O6" s="30">
        <f>L6-M6-N6</f>
        <v>30000</v>
      </c>
      <c r="P6" s="36">
        <f>IF(VALUE(L6)&lt;=0,0,O6/L6)</f>
        <v>5.2631578947368418E-2</v>
      </c>
      <c r="Q6" s="37">
        <v>1</v>
      </c>
      <c r="R6" s="33">
        <f>L6*Q6</f>
        <v>570000</v>
      </c>
      <c r="S6" s="34">
        <f>Q6*O6</f>
        <v>30000</v>
      </c>
    </row>
    <row r="7" spans="1:19" x14ac:dyDescent="0.15">
      <c r="A7" s="45">
        <v>3</v>
      </c>
      <c r="B7" s="55" t="s">
        <v>109</v>
      </c>
      <c r="C7" s="56" t="s">
        <v>113</v>
      </c>
      <c r="D7" s="28"/>
      <c r="E7" s="28" t="s">
        <v>69</v>
      </c>
      <c r="F7" s="28" t="s">
        <v>70</v>
      </c>
      <c r="G7" s="28" t="s">
        <v>57</v>
      </c>
      <c r="H7" s="28" t="s">
        <v>59</v>
      </c>
      <c r="I7" s="28" t="s">
        <v>48</v>
      </c>
      <c r="J7" s="29" t="s">
        <v>89</v>
      </c>
      <c r="K7" s="28" t="s">
        <v>60</v>
      </c>
      <c r="L7" s="30">
        <f>SUM(L5:L6)</f>
        <v>1200000</v>
      </c>
      <c r="M7" s="30">
        <f>SUM(M5:M6)</f>
        <v>1140000</v>
      </c>
      <c r="N7" s="30">
        <f>SUM(N5:N6)</f>
        <v>0</v>
      </c>
      <c r="O7" s="30">
        <f>L7-M7-N7</f>
        <v>60000</v>
      </c>
      <c r="P7" s="36">
        <f>IF(VALUE(L7)&lt;=0,0,O7/L7)</f>
        <v>0.05</v>
      </c>
      <c r="Q7" s="37">
        <f>SUM(Q5:Q6)</f>
        <v>1.5</v>
      </c>
      <c r="R7" s="33">
        <f>L7*Q7</f>
        <v>1800000</v>
      </c>
      <c r="S7" s="34">
        <f>Q7*O7</f>
        <v>90000</v>
      </c>
    </row>
    <row r="8" spans="1:19" x14ac:dyDescent="0.15">
      <c r="A8" s="45"/>
      <c r="B8" s="38"/>
      <c r="C8" s="38"/>
      <c r="D8" s="38"/>
      <c r="E8" s="38"/>
      <c r="F8" s="38"/>
      <c r="G8" s="38"/>
      <c r="H8" s="38"/>
      <c r="I8" s="38"/>
      <c r="J8" s="38"/>
      <c r="K8" s="39" t="s">
        <v>27</v>
      </c>
      <c r="L8" s="40">
        <f>SUM(L5:L7)-SUM(0)</f>
        <v>2400000</v>
      </c>
      <c r="M8" s="40">
        <f>SUM(M5:M7)-SUM(0)</f>
        <v>2280000</v>
      </c>
      <c r="N8" s="40">
        <f>SUM(N5:N7)-SUM(0)</f>
        <v>0</v>
      </c>
      <c r="O8" s="40">
        <f>SUM(O5:O7)-SUM(0)</f>
        <v>120000</v>
      </c>
      <c r="P8" s="41">
        <f>O8/L8</f>
        <v>0.05</v>
      </c>
      <c r="Q8" s="42">
        <f>SUM(Q5:Q7)-SUM(0)</f>
        <v>3</v>
      </c>
      <c r="R8" s="43">
        <f>SUM(R5:R7)-SUM(0)</f>
        <v>2685000</v>
      </c>
      <c r="S8" s="43">
        <f>SUM(S5:S7)-SUM(0)</f>
        <v>135000</v>
      </c>
    </row>
    <row r="9" spans="1:19" x14ac:dyDescent="0.15">
      <c r="A9" s="45"/>
      <c r="B9" s="38"/>
      <c r="C9" s="38"/>
      <c r="D9" s="38"/>
      <c r="E9" s="38"/>
      <c r="F9" s="38"/>
      <c r="G9" s="38"/>
      <c r="H9" s="38"/>
      <c r="I9" s="38"/>
      <c r="J9" s="38"/>
      <c r="K9" s="38"/>
      <c r="L9" s="44"/>
      <c r="M9" s="44"/>
      <c r="N9" s="44"/>
      <c r="O9" s="44"/>
      <c r="P9" s="45"/>
      <c r="Q9" s="45"/>
      <c r="R9" s="45"/>
      <c r="S9" s="45"/>
    </row>
    <row r="10" spans="1:19" x14ac:dyDescent="0.15">
      <c r="A10" s="45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13" t="s">
        <v>28</v>
      </c>
      <c r="M10" s="13">
        <f>R8/Q8</f>
        <v>895000</v>
      </c>
      <c r="N10" s="44"/>
      <c r="O10" s="44"/>
      <c r="P10" s="45"/>
      <c r="Q10" s="45"/>
      <c r="R10" s="45"/>
      <c r="S10" s="45"/>
    </row>
    <row r="11" spans="1:19" x14ac:dyDescent="0.15">
      <c r="A11" s="45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13" t="s">
        <v>29</v>
      </c>
      <c r="M11" s="13">
        <f>S8/Q8</f>
        <v>45000</v>
      </c>
      <c r="N11" s="44"/>
      <c r="O11" s="44"/>
      <c r="P11" s="45"/>
      <c r="Q11" s="45"/>
      <c r="R11" s="45"/>
      <c r="S11" s="45"/>
    </row>
    <row r="12" spans="1:19" x14ac:dyDescent="0.15">
      <c r="A12" s="45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13" t="s">
        <v>30</v>
      </c>
      <c r="M12" s="46">
        <f>SUM(Q8)</f>
        <v>3</v>
      </c>
      <c r="N12" s="44"/>
      <c r="O12" s="44"/>
      <c r="P12" s="45"/>
      <c r="Q12" s="45"/>
      <c r="R12" s="45"/>
      <c r="S12" s="45"/>
    </row>
    <row r="13" spans="1:19" x14ac:dyDescent="0.15">
      <c r="A13" s="45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13" t="s">
        <v>61</v>
      </c>
      <c r="M13" s="46">
        <v>1</v>
      </c>
      <c r="N13" s="44"/>
      <c r="O13" s="44"/>
      <c r="P13" s="45"/>
      <c r="Q13" s="45"/>
      <c r="R13" s="45"/>
      <c r="S13" s="45"/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P7"/>
  <sheetViews>
    <sheetView workbookViewId="0">
      <selection activeCell="B5" sqref="B5:C6"/>
    </sheetView>
  </sheetViews>
  <sheetFormatPr defaultRowHeight="13.5" x14ac:dyDescent="0.15"/>
  <sheetData>
    <row r="4" spans="1:16" x14ac:dyDescent="0.15">
      <c r="A4" s="6"/>
      <c r="B4" s="7" t="s">
        <v>0</v>
      </c>
      <c r="C4" s="7" t="s">
        <v>1</v>
      </c>
      <c r="D4" s="7" t="s">
        <v>90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43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</row>
    <row r="5" spans="1:16" x14ac:dyDescent="0.15">
      <c r="A5" s="47">
        <v>1</v>
      </c>
      <c r="B5" s="55" t="s">
        <v>109</v>
      </c>
      <c r="C5" s="59" t="s">
        <v>114</v>
      </c>
      <c r="D5" s="48" t="s">
        <v>15</v>
      </c>
      <c r="E5" s="49" t="s">
        <v>91</v>
      </c>
      <c r="F5" s="49" t="s">
        <v>92</v>
      </c>
      <c r="G5" s="49" t="s">
        <v>18</v>
      </c>
      <c r="H5" s="48" t="s">
        <v>93</v>
      </c>
      <c r="I5" s="48" t="s">
        <v>20</v>
      </c>
      <c r="J5" s="35" t="s">
        <v>94</v>
      </c>
      <c r="K5" s="48" t="s">
        <v>22</v>
      </c>
      <c r="L5" s="50">
        <v>10</v>
      </c>
      <c r="M5" s="50">
        <v>5</v>
      </c>
      <c r="N5" s="50"/>
      <c r="O5" s="50">
        <f>L5-M5-N5</f>
        <v>5</v>
      </c>
      <c r="P5" s="51">
        <f>IF(VALUE(L5)&lt;=0,0,O5/L5)</f>
        <v>0.5</v>
      </c>
    </row>
    <row r="6" spans="1:16" x14ac:dyDescent="0.15">
      <c r="A6" s="47">
        <v>1</v>
      </c>
      <c r="B6" s="55" t="s">
        <v>109</v>
      </c>
      <c r="C6" s="59" t="s">
        <v>115</v>
      </c>
      <c r="D6" s="48" t="s">
        <v>15</v>
      </c>
      <c r="E6" s="49" t="s">
        <v>95</v>
      </c>
      <c r="F6" s="49" t="s">
        <v>96</v>
      </c>
      <c r="G6" s="49" t="s">
        <v>18</v>
      </c>
      <c r="H6" s="48" t="s">
        <v>97</v>
      </c>
      <c r="I6" s="48" t="s">
        <v>20</v>
      </c>
      <c r="J6" s="35" t="s">
        <v>98</v>
      </c>
      <c r="K6" s="48" t="s">
        <v>22</v>
      </c>
      <c r="L6" s="50">
        <v>10</v>
      </c>
      <c r="M6" s="50">
        <v>5</v>
      </c>
      <c r="N6" s="50"/>
      <c r="O6" s="50">
        <f>L6-M6-N6</f>
        <v>5</v>
      </c>
      <c r="P6" s="51">
        <f>IF(VALUE(L6)&lt;=0,0,O6/L6)</f>
        <v>0.5</v>
      </c>
    </row>
    <row r="7" spans="1:16" x14ac:dyDescent="0.15">
      <c r="A7" s="45"/>
      <c r="B7" s="55"/>
      <c r="C7" s="56"/>
      <c r="D7" s="38"/>
      <c r="E7" s="38"/>
      <c r="F7" s="38"/>
      <c r="G7" s="38"/>
      <c r="H7" s="38"/>
      <c r="I7" s="38"/>
      <c r="J7" s="38"/>
      <c r="K7" s="39" t="s">
        <v>27</v>
      </c>
      <c r="L7" s="40">
        <f>SUM(L5:L6)-SUM(0)</f>
        <v>20</v>
      </c>
      <c r="M7" s="40">
        <f>SUM(M5:M6)-SUM(0)</f>
        <v>10</v>
      </c>
      <c r="N7" s="40">
        <f>SUM(N5:N6)-SUM(0)</f>
        <v>0</v>
      </c>
      <c r="O7" s="40">
        <f>SUM(O5:O6)-SUM(0)</f>
        <v>10</v>
      </c>
      <c r="P7" s="41">
        <f>O7/L7</f>
        <v>0.5</v>
      </c>
    </row>
  </sheetData>
  <phoneticPr fontId="7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P7"/>
  <sheetViews>
    <sheetView workbookViewId="0">
      <selection activeCell="B5" sqref="B5:C6"/>
    </sheetView>
  </sheetViews>
  <sheetFormatPr defaultRowHeight="13.5" x14ac:dyDescent="0.15"/>
  <sheetData>
    <row r="4" spans="1:16" x14ac:dyDescent="0.15">
      <c r="A4" s="6"/>
      <c r="B4" s="7" t="s">
        <v>0</v>
      </c>
      <c r="C4" s="7" t="s">
        <v>1</v>
      </c>
      <c r="D4" s="7" t="s">
        <v>90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43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</row>
    <row r="5" spans="1:16" x14ac:dyDescent="0.15">
      <c r="A5" s="47">
        <v>1</v>
      </c>
      <c r="B5" s="55" t="s">
        <v>109</v>
      </c>
      <c r="C5" s="59" t="s">
        <v>114</v>
      </c>
      <c r="D5" s="48" t="s">
        <v>15</v>
      </c>
      <c r="E5" s="49" t="s">
        <v>91</v>
      </c>
      <c r="F5" s="49" t="s">
        <v>92</v>
      </c>
      <c r="G5" s="49" t="s">
        <v>18</v>
      </c>
      <c r="H5" s="48" t="s">
        <v>93</v>
      </c>
      <c r="I5" s="48" t="s">
        <v>20</v>
      </c>
      <c r="J5" s="35" t="s">
        <v>99</v>
      </c>
      <c r="K5" s="48" t="s">
        <v>22</v>
      </c>
      <c r="L5" s="50">
        <v>10</v>
      </c>
      <c r="M5" s="50">
        <v>5</v>
      </c>
      <c r="N5" s="50"/>
      <c r="O5" s="50">
        <f>L5-M5-N5</f>
        <v>5</v>
      </c>
      <c r="P5" s="51">
        <f>IF(VALUE(L5)&lt;=0,0,O5/L5)</f>
        <v>0.5</v>
      </c>
    </row>
    <row r="6" spans="1:16" x14ac:dyDescent="0.15">
      <c r="A6" s="47">
        <v>1</v>
      </c>
      <c r="B6" s="55" t="s">
        <v>109</v>
      </c>
      <c r="C6" s="59" t="s">
        <v>115</v>
      </c>
      <c r="D6" s="48" t="s">
        <v>15</v>
      </c>
      <c r="E6" s="49" t="s">
        <v>16</v>
      </c>
      <c r="F6" s="49" t="s">
        <v>17</v>
      </c>
      <c r="G6" s="49" t="s">
        <v>18</v>
      </c>
      <c r="H6" s="48" t="s">
        <v>19</v>
      </c>
      <c r="I6" s="48" t="s">
        <v>20</v>
      </c>
      <c r="J6" s="35" t="s">
        <v>100</v>
      </c>
      <c r="K6" s="48" t="s">
        <v>22</v>
      </c>
      <c r="L6" s="50">
        <v>10</v>
      </c>
      <c r="M6" s="50">
        <v>5</v>
      </c>
      <c r="N6" s="50"/>
      <c r="O6" s="50">
        <f>L6-M6-N6</f>
        <v>5</v>
      </c>
      <c r="P6" s="51">
        <f>IF(VALUE(L6)&lt;=0,0,O6/L6)</f>
        <v>0.5</v>
      </c>
    </row>
    <row r="7" spans="1:16" x14ac:dyDescent="0.15">
      <c r="A7" s="45"/>
      <c r="B7" s="38"/>
      <c r="C7" s="38"/>
      <c r="D7" s="38"/>
      <c r="E7" s="38"/>
      <c r="F7" s="38"/>
      <c r="G7" s="38"/>
      <c r="H7" s="38"/>
      <c r="I7" s="38"/>
      <c r="J7" s="38"/>
      <c r="K7" s="39" t="s">
        <v>27</v>
      </c>
      <c r="L7" s="40">
        <f>SUM(L5:L6)-SUM(0)</f>
        <v>20</v>
      </c>
      <c r="M7" s="40">
        <f>SUM(M5:M6)-SUM(0)</f>
        <v>10</v>
      </c>
      <c r="N7" s="40">
        <f>SUM(N5:N6)-SUM(0)</f>
        <v>0</v>
      </c>
      <c r="O7" s="40">
        <f>SUM(O5:O6)-SUM(0)</f>
        <v>10</v>
      </c>
      <c r="P7" s="41">
        <f>O7/L7</f>
        <v>0.5</v>
      </c>
    </row>
  </sheetData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:P7"/>
  <sheetViews>
    <sheetView workbookViewId="0">
      <selection activeCell="B5" sqref="B5:C6"/>
    </sheetView>
  </sheetViews>
  <sheetFormatPr defaultRowHeight="13.5" x14ac:dyDescent="0.15"/>
  <sheetData>
    <row r="4" spans="1:16" x14ac:dyDescent="0.15">
      <c r="A4" s="6"/>
      <c r="B4" s="7" t="s">
        <v>0</v>
      </c>
      <c r="C4" s="7" t="s">
        <v>1</v>
      </c>
      <c r="D4" s="7" t="s">
        <v>90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43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</row>
    <row r="5" spans="1:16" x14ac:dyDescent="0.15">
      <c r="A5" s="47">
        <v>1</v>
      </c>
      <c r="B5" s="55" t="s">
        <v>109</v>
      </c>
      <c r="C5" s="59" t="s">
        <v>114</v>
      </c>
      <c r="D5" s="48" t="s">
        <v>15</v>
      </c>
      <c r="E5" s="49" t="s">
        <v>91</v>
      </c>
      <c r="F5" s="49" t="s">
        <v>92</v>
      </c>
      <c r="G5" s="49" t="s">
        <v>18</v>
      </c>
      <c r="H5" s="48" t="s">
        <v>93</v>
      </c>
      <c r="I5" s="48" t="s">
        <v>20</v>
      </c>
      <c r="J5" s="35" t="s">
        <v>101</v>
      </c>
      <c r="K5" s="48" t="s">
        <v>22</v>
      </c>
      <c r="L5" s="50">
        <v>10</v>
      </c>
      <c r="M5" s="50">
        <v>5</v>
      </c>
      <c r="N5" s="50"/>
      <c r="O5" s="50">
        <f>L5-M5-N5</f>
        <v>5</v>
      </c>
      <c r="P5" s="51">
        <f>IF(VALUE(L5)&lt;=0,0,O5/L5)</f>
        <v>0.5</v>
      </c>
    </row>
    <row r="6" spans="1:16" x14ac:dyDescent="0.15">
      <c r="A6" s="47">
        <v>1</v>
      </c>
      <c r="B6" s="55" t="s">
        <v>109</v>
      </c>
      <c r="C6" s="59" t="s">
        <v>115</v>
      </c>
      <c r="D6" s="48" t="s">
        <v>15</v>
      </c>
      <c r="E6" s="49" t="s">
        <v>102</v>
      </c>
      <c r="F6" s="49" t="s">
        <v>103</v>
      </c>
      <c r="G6" s="49" t="s">
        <v>18</v>
      </c>
      <c r="H6" s="48" t="s">
        <v>104</v>
      </c>
      <c r="I6" s="48" t="s">
        <v>20</v>
      </c>
      <c r="J6" s="35" t="s">
        <v>105</v>
      </c>
      <c r="K6" s="48" t="s">
        <v>22</v>
      </c>
      <c r="L6" s="50">
        <v>10</v>
      </c>
      <c r="M6" s="50">
        <v>5</v>
      </c>
      <c r="N6" s="50"/>
      <c r="O6" s="50">
        <f>L6-M6-N6</f>
        <v>5</v>
      </c>
      <c r="P6" s="51">
        <f>IF(VALUE(L6)&lt;=0,0,O6/L6)</f>
        <v>0.5</v>
      </c>
    </row>
    <row r="7" spans="1:16" x14ac:dyDescent="0.15">
      <c r="A7" s="45"/>
      <c r="B7" s="38"/>
      <c r="C7" s="38"/>
      <c r="D7" s="38"/>
      <c r="E7" s="38"/>
      <c r="F7" s="38"/>
      <c r="G7" s="38"/>
      <c r="H7" s="38"/>
      <c r="I7" s="38"/>
      <c r="J7" s="38"/>
      <c r="K7" s="39" t="s">
        <v>27</v>
      </c>
      <c r="L7" s="40">
        <f>SUM(L5:L6)-SUM(0)</f>
        <v>20</v>
      </c>
      <c r="M7" s="40">
        <f>SUM(M5:M6)-SUM(0)</f>
        <v>10</v>
      </c>
      <c r="N7" s="40">
        <f>SUM(N5:N6)-SUM(0)</f>
        <v>0</v>
      </c>
      <c r="O7" s="40">
        <f>SUM(O5:O6)-SUM(0)</f>
        <v>10</v>
      </c>
      <c r="P7" s="41">
        <f>O7/L7</f>
        <v>0.5</v>
      </c>
    </row>
  </sheetData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7"/>
  <sheetViews>
    <sheetView workbookViewId="0">
      <selection activeCell="D14" sqref="D14"/>
    </sheetView>
  </sheetViews>
  <sheetFormatPr defaultRowHeight="13.5" x14ac:dyDescent="0.15"/>
  <cols>
    <col min="2" max="3" width="9" style="54"/>
  </cols>
  <sheetData>
    <row r="1" spans="1:16" x14ac:dyDescent="0.15">
      <c r="B1"/>
      <c r="C1"/>
    </row>
    <row r="2" spans="1:16" x14ac:dyDescent="0.15">
      <c r="B2"/>
      <c r="C2"/>
    </row>
    <row r="3" spans="1:16" x14ac:dyDescent="0.15">
      <c r="B3"/>
      <c r="C3"/>
    </row>
    <row r="4" spans="1:16" x14ac:dyDescent="0.15">
      <c r="A4" s="6"/>
      <c r="B4" s="7" t="s">
        <v>0</v>
      </c>
      <c r="C4" s="7" t="s">
        <v>1</v>
      </c>
      <c r="D4" s="7" t="s">
        <v>78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43</v>
      </c>
      <c r="L4" s="8" t="s">
        <v>10</v>
      </c>
      <c r="M4" s="8" t="s">
        <v>11</v>
      </c>
      <c r="N4" s="8" t="s">
        <v>12</v>
      </c>
      <c r="O4" s="8" t="s">
        <v>13</v>
      </c>
      <c r="P4" s="8" t="s">
        <v>14</v>
      </c>
    </row>
    <row r="5" spans="1:16" x14ac:dyDescent="0.15">
      <c r="A5" s="47">
        <v>1</v>
      </c>
      <c r="B5" s="55" t="s">
        <v>109</v>
      </c>
      <c r="C5" s="59" t="s">
        <v>114</v>
      </c>
      <c r="D5" s="48" t="s">
        <v>15</v>
      </c>
      <c r="E5" s="49" t="s">
        <v>91</v>
      </c>
      <c r="F5" s="49" t="s">
        <v>92</v>
      </c>
      <c r="G5" s="49" t="s">
        <v>18</v>
      </c>
      <c r="H5" s="48" t="s">
        <v>93</v>
      </c>
      <c r="I5" s="48" t="s">
        <v>20</v>
      </c>
      <c r="J5" s="35" t="s">
        <v>106</v>
      </c>
      <c r="K5" s="48" t="s">
        <v>22</v>
      </c>
      <c r="L5" s="50">
        <v>10</v>
      </c>
      <c r="M5" s="50">
        <v>5</v>
      </c>
      <c r="N5" s="50"/>
      <c r="O5" s="50">
        <f>L5-M5-N5</f>
        <v>5</v>
      </c>
      <c r="P5" s="51">
        <f>IF(VALUE(L5)&lt;=0,0,O5/L5)</f>
        <v>0.5</v>
      </c>
    </row>
    <row r="6" spans="1:16" x14ac:dyDescent="0.15">
      <c r="A6" s="47">
        <v>1</v>
      </c>
      <c r="B6" s="55" t="s">
        <v>109</v>
      </c>
      <c r="C6" s="59" t="s">
        <v>115</v>
      </c>
      <c r="D6" s="48" t="s">
        <v>15</v>
      </c>
      <c r="E6" s="49" t="s">
        <v>16</v>
      </c>
      <c r="F6" s="49" t="s">
        <v>17</v>
      </c>
      <c r="G6" s="49" t="s">
        <v>18</v>
      </c>
      <c r="H6" s="48" t="s">
        <v>19</v>
      </c>
      <c r="I6" s="48" t="s">
        <v>20</v>
      </c>
      <c r="J6" s="35" t="s">
        <v>107</v>
      </c>
      <c r="K6" s="48" t="s">
        <v>22</v>
      </c>
      <c r="L6" s="50">
        <v>10</v>
      </c>
      <c r="M6" s="50">
        <v>5</v>
      </c>
      <c r="N6" s="50"/>
      <c r="O6" s="50">
        <f>L6-M6-N6</f>
        <v>5</v>
      </c>
      <c r="P6" s="51">
        <f>IF(VALUE(L6)&lt;=0,0,O6/L6)</f>
        <v>0.5</v>
      </c>
    </row>
    <row r="7" spans="1:16" x14ac:dyDescent="0.15">
      <c r="A7" s="45"/>
      <c r="B7" s="53"/>
      <c r="C7" s="53"/>
      <c r="D7" s="38"/>
      <c r="E7" s="38"/>
      <c r="F7" s="38"/>
      <c r="G7" s="38"/>
      <c r="H7" s="38"/>
      <c r="I7" s="38"/>
      <c r="J7" s="38"/>
      <c r="K7" s="39" t="s">
        <v>27</v>
      </c>
      <c r="L7" s="40">
        <f>SUM(L5:L6)-SUM(0)</f>
        <v>20</v>
      </c>
      <c r="M7" s="40">
        <f>SUM(M5:M6)-SUM(0)</f>
        <v>10</v>
      </c>
      <c r="N7" s="40">
        <f>SUM(N5:N6)-SUM(0)</f>
        <v>0</v>
      </c>
      <c r="O7" s="40">
        <f>SUM(O5:O6)-SUM(0)</f>
        <v>10</v>
      </c>
      <c r="P7" s="41">
        <f>O7/L7</f>
        <v>0.5</v>
      </c>
    </row>
  </sheetData>
  <phoneticPr fontId="7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稼働一覧</vt:lpstr>
      <vt:lpstr>渡辺一覧</vt:lpstr>
      <vt:lpstr>福田一覧</vt:lpstr>
      <vt:lpstr>木村一覧</vt:lpstr>
      <vt:lpstr>大村一覧</vt:lpstr>
      <vt:lpstr>中村一覧</vt:lpstr>
      <vt:lpstr>正社員</vt:lpstr>
      <vt:lpstr>契約社員</vt:lpstr>
      <vt:lpstr>個人事業主</vt:lpstr>
      <vt:lpstr>協力会社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2021-02-09T08:59:57Z</dcterms:modified>
</cp:coreProperties>
</file>