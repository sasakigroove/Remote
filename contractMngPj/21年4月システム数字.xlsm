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90" yWindow="2295" windowWidth="19950" windowHeight="7395" activeTab="9"/>
  </bookViews>
  <sheets>
    <sheet name="稼働一覧" sheetId="1" r:id="rId1"/>
    <sheet name="渡辺一覧" sheetId="9" r:id="rId2"/>
    <sheet name="福田一覧" sheetId="15" r:id="rId3"/>
    <sheet name="木村一覧" sheetId="14" r:id="rId4"/>
    <sheet name="大村一覧" sheetId="16" r:id="rId5"/>
    <sheet name="中村一覧" sheetId="17" r:id="rId6"/>
    <sheet name="正社員" sheetId="7" r:id="rId7"/>
    <sheet name="契約社員" sheetId="11" r:id="rId8"/>
    <sheet name="個人事業主" sheetId="12" r:id="rId9"/>
    <sheet name="協力会社" sheetId="13" r:id="rId10"/>
  </sheets>
  <calcPr calcId="14562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5" i="13" l="1"/>
  <c r="P5" i="13" s="1"/>
  <c r="N5" i="13"/>
  <c r="M5" i="13"/>
  <c r="L5" i="13"/>
  <c r="O5" i="12"/>
  <c r="P5" i="12" s="1"/>
  <c r="N5" i="12"/>
  <c r="M5" i="12"/>
  <c r="L5" i="12"/>
  <c r="O5" i="11"/>
  <c r="P5" i="11" s="1"/>
  <c r="N5" i="11"/>
  <c r="M5" i="11"/>
  <c r="L5" i="11"/>
  <c r="O5" i="7"/>
  <c r="P5" i="7" s="1"/>
  <c r="N5" i="7"/>
  <c r="M5" i="7"/>
  <c r="L5" i="7"/>
  <c r="M7" i="17"/>
  <c r="S5" i="17"/>
  <c r="M8" i="17" s="1"/>
  <c r="R5" i="17"/>
  <c r="Q5" i="17"/>
  <c r="O5" i="17"/>
  <c r="P5" i="17" s="1"/>
  <c r="N5" i="17"/>
  <c r="M5" i="17"/>
  <c r="L5" i="17"/>
  <c r="S5" i="16"/>
  <c r="R5" i="16"/>
  <c r="M7" i="16" s="1"/>
  <c r="Q5" i="16"/>
  <c r="M8" i="16" s="1"/>
  <c r="O5" i="16"/>
  <c r="P5" i="16" s="1"/>
  <c r="N5" i="16"/>
  <c r="M5" i="16"/>
  <c r="L5" i="16"/>
  <c r="Q5" i="15"/>
  <c r="N5" i="15"/>
  <c r="M5" i="15"/>
  <c r="L5" i="15"/>
  <c r="R5" i="15"/>
  <c r="M7" i="15" s="1"/>
  <c r="O5" i="15"/>
  <c r="P5" i="15" s="1"/>
  <c r="S5" i="14"/>
  <c r="R5" i="14"/>
  <c r="M7" i="14" s="1"/>
  <c r="Q5" i="14"/>
  <c r="M8" i="14" s="1"/>
  <c r="O5" i="14"/>
  <c r="P5" i="14" s="1"/>
  <c r="N5" i="14"/>
  <c r="M5" i="14"/>
  <c r="L5" i="14"/>
  <c r="M7" i="9"/>
  <c r="S5" i="9"/>
  <c r="M8" i="9" s="1"/>
  <c r="R5" i="9"/>
  <c r="Q5" i="9"/>
  <c r="O5" i="9"/>
  <c r="P5" i="9" s="1"/>
  <c r="N5" i="9"/>
  <c r="M5" i="9"/>
  <c r="L5" i="9"/>
  <c r="M13" i="1"/>
  <c r="N5" i="1"/>
  <c r="M5" i="1"/>
  <c r="L5" i="1"/>
  <c r="M7" i="1" s="1"/>
  <c r="O5" i="1"/>
  <c r="S5" i="15" l="1"/>
  <c r="M8" i="15" s="1"/>
  <c r="P5" i="1"/>
  <c r="M8" i="1"/>
  <c r="M9" i="17" l="1"/>
  <c r="M9" i="16" l="1"/>
  <c r="M9" i="15" l="1"/>
  <c r="M9" i="14" l="1"/>
  <c r="M9" i="9" l="1"/>
</calcChain>
</file>

<file path=xl/sharedStrings.xml><?xml version="1.0" encoding="utf-8"?>
<sst xmlns="http://schemas.openxmlformats.org/spreadsheetml/2006/main" count="208" uniqueCount="35">
  <si>
    <t>稼働開始日</t>
    <rPh sb="0" eb="2">
      <t>カドウ</t>
    </rPh>
    <rPh sb="2" eb="5">
      <t>カイシビ</t>
    </rPh>
    <phoneticPr fontId="1"/>
  </si>
  <si>
    <t>稼働終了日</t>
    <rPh sb="0" eb="2">
      <t>カドウ</t>
    </rPh>
    <rPh sb="2" eb="5">
      <t>シュウリョウビ</t>
    </rPh>
    <phoneticPr fontId="1"/>
  </si>
  <si>
    <t>案件元</t>
    <rPh sb="0" eb="2">
      <t>アンケン</t>
    </rPh>
    <rPh sb="2" eb="3">
      <t>モト</t>
    </rPh>
    <phoneticPr fontId="1"/>
  </si>
  <si>
    <t>所属会社</t>
    <rPh sb="0" eb="2">
      <t>ショゾク</t>
    </rPh>
    <rPh sb="2" eb="4">
      <t>カイシャ</t>
    </rPh>
    <phoneticPr fontId="1"/>
  </si>
  <si>
    <t>元請</t>
    <rPh sb="0" eb="2">
      <t>モトウ</t>
    </rPh>
    <phoneticPr fontId="1"/>
  </si>
  <si>
    <t>技術者名</t>
    <rPh sb="0" eb="3">
      <t>ギジュツシャ</t>
    </rPh>
    <rPh sb="3" eb="4">
      <t>メイ</t>
    </rPh>
    <phoneticPr fontId="1"/>
  </si>
  <si>
    <t>案件元営業</t>
    <rPh sb="0" eb="2">
      <t>アンケン</t>
    </rPh>
    <rPh sb="2" eb="3">
      <t>モト</t>
    </rPh>
    <rPh sb="3" eb="5">
      <t>エイギョウ</t>
    </rPh>
    <phoneticPr fontId="1"/>
  </si>
  <si>
    <t>所属会社営業</t>
    <rPh sb="0" eb="2">
      <t>ショゾク</t>
    </rPh>
    <rPh sb="2" eb="4">
      <t>カイシャ</t>
    </rPh>
    <rPh sb="4" eb="6">
      <t>エイギョウ</t>
    </rPh>
    <phoneticPr fontId="1"/>
  </si>
  <si>
    <t>売上</t>
    <rPh sb="0" eb="2">
      <t>ウリアゲ</t>
    </rPh>
    <phoneticPr fontId="1"/>
  </si>
  <si>
    <t>仕入</t>
    <rPh sb="0" eb="2">
      <t>シイレ</t>
    </rPh>
    <phoneticPr fontId="1"/>
  </si>
  <si>
    <t>粗利益</t>
    <rPh sb="0" eb="3">
      <t>アラリエキ</t>
    </rPh>
    <phoneticPr fontId="1"/>
  </si>
  <si>
    <t>法定福利</t>
    <rPh sb="0" eb="2">
      <t>ホウテイ</t>
    </rPh>
    <rPh sb="2" eb="4">
      <t>フクリ</t>
    </rPh>
    <phoneticPr fontId="1"/>
  </si>
  <si>
    <t>粗利率</t>
    <rPh sb="0" eb="2">
      <t>アラリ</t>
    </rPh>
    <rPh sb="2" eb="3">
      <t>リツ</t>
    </rPh>
    <phoneticPr fontId="1"/>
  </si>
  <si>
    <t>合計</t>
    <rPh sb="0" eb="2">
      <t>ゴウケイ</t>
    </rPh>
    <phoneticPr fontId="1"/>
  </si>
  <si>
    <t>エンド</t>
    <phoneticPr fontId="1"/>
  </si>
  <si>
    <t>スキル</t>
    <phoneticPr fontId="1"/>
  </si>
  <si>
    <t>平均売上</t>
    <rPh sb="0" eb="2">
      <t>ヘイキン</t>
    </rPh>
    <rPh sb="2" eb="4">
      <t>ウリアゲ</t>
    </rPh>
    <phoneticPr fontId="1"/>
  </si>
  <si>
    <t>平均利益</t>
    <rPh sb="0" eb="2">
      <t>ヘイキン</t>
    </rPh>
    <rPh sb="2" eb="4">
      <t>リエキ</t>
    </rPh>
    <phoneticPr fontId="1"/>
  </si>
  <si>
    <t>稼働件数</t>
    <rPh sb="0" eb="2">
      <t>カドウ</t>
    </rPh>
    <rPh sb="2" eb="4">
      <t>ケンスウ</t>
    </rPh>
    <phoneticPr fontId="1"/>
  </si>
  <si>
    <t>件数</t>
    <rPh sb="0" eb="2">
      <t>ケンスウ</t>
    </rPh>
    <phoneticPr fontId="1"/>
  </si>
  <si>
    <t>実売上</t>
    <rPh sb="0" eb="1">
      <t>ジツ</t>
    </rPh>
    <rPh sb="1" eb="3">
      <t>ウリアゲ</t>
    </rPh>
    <phoneticPr fontId="1"/>
  </si>
  <si>
    <t>実粗利</t>
    <rPh sb="0" eb="1">
      <t>ジツ</t>
    </rPh>
    <rPh sb="1" eb="3">
      <t>アラリ</t>
    </rPh>
    <phoneticPr fontId="1"/>
  </si>
  <si>
    <t>A-STAR</t>
    <phoneticPr fontId="1"/>
  </si>
  <si>
    <t>A-STAR</t>
    <phoneticPr fontId="1"/>
  </si>
  <si>
    <t>A-STAR</t>
    <phoneticPr fontId="1"/>
  </si>
  <si>
    <t>2月受注件数GAP</t>
    <rPh sb="1" eb="2">
      <t>ガツ</t>
    </rPh>
    <rPh sb="2" eb="4">
      <t>ジュチュウ</t>
    </rPh>
    <rPh sb="4" eb="6">
      <t>ケンスウ</t>
    </rPh>
    <phoneticPr fontId="1"/>
  </si>
  <si>
    <t>3月末落ち件数</t>
    <rPh sb="1" eb="2">
      <t>ガツ</t>
    </rPh>
    <rPh sb="2" eb="3">
      <t>マツ</t>
    </rPh>
    <rPh sb="3" eb="4">
      <t>オ</t>
    </rPh>
    <rPh sb="5" eb="7">
      <t>ケンスウ</t>
    </rPh>
    <phoneticPr fontId="1"/>
  </si>
  <si>
    <t>3月新規受注件数</t>
    <rPh sb="1" eb="2">
      <t>ガツ</t>
    </rPh>
    <rPh sb="2" eb="4">
      <t>シンキ</t>
    </rPh>
    <rPh sb="4" eb="6">
      <t>ジュチュウ</t>
    </rPh>
    <rPh sb="6" eb="8">
      <t>ケンスウ</t>
    </rPh>
    <phoneticPr fontId="1"/>
  </si>
  <si>
    <t>3月新規受注件数目標</t>
    <rPh sb="1" eb="2">
      <t>ガツ</t>
    </rPh>
    <rPh sb="2" eb="4">
      <t>シンキ</t>
    </rPh>
    <rPh sb="4" eb="6">
      <t>ジュチュウ</t>
    </rPh>
    <rPh sb="6" eb="8">
      <t>ケンスウ</t>
    </rPh>
    <rPh sb="8" eb="10">
      <t>モクヒョウ</t>
    </rPh>
    <phoneticPr fontId="1"/>
  </si>
  <si>
    <t>3月木村受注件数</t>
    <rPh sb="1" eb="2">
      <t>ガツ</t>
    </rPh>
    <rPh sb="2" eb="4">
      <t>キムラ</t>
    </rPh>
    <rPh sb="4" eb="6">
      <t>ジュチュウ</t>
    </rPh>
    <rPh sb="6" eb="8">
      <t>ケンスウ</t>
    </rPh>
    <phoneticPr fontId="1"/>
  </si>
  <si>
    <t>3月中村受注件数</t>
    <rPh sb="1" eb="2">
      <t>ガツ</t>
    </rPh>
    <rPh sb="2" eb="4">
      <t>ナカムラ</t>
    </rPh>
    <rPh sb="4" eb="6">
      <t>ジュチュウ</t>
    </rPh>
    <rPh sb="6" eb="8">
      <t>ケンスウ</t>
    </rPh>
    <phoneticPr fontId="1"/>
  </si>
  <si>
    <t>3月大村受注件数</t>
    <rPh sb="1" eb="2">
      <t>ガツ</t>
    </rPh>
    <rPh sb="2" eb="4">
      <t>オオムラ</t>
    </rPh>
    <rPh sb="4" eb="6">
      <t>ジュチュウ</t>
    </rPh>
    <rPh sb="6" eb="8">
      <t>ケンスウ</t>
    </rPh>
    <phoneticPr fontId="1"/>
  </si>
  <si>
    <t>3月大倉受注件数</t>
    <rPh sb="1" eb="2">
      <t>ガツ</t>
    </rPh>
    <rPh sb="2" eb="4">
      <t>オオクラ</t>
    </rPh>
    <rPh sb="4" eb="6">
      <t>ジュチュウ</t>
    </rPh>
    <rPh sb="6" eb="8">
      <t>ケンスウ</t>
    </rPh>
    <phoneticPr fontId="1"/>
  </si>
  <si>
    <t>2.0/6</t>
    <phoneticPr fontId="1"/>
  </si>
  <si>
    <t>0/3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</si>
</sst>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5" formatCode="&quot;¥&quot;#,##0;&quot;¥&quot;\-#,##0"/>
    <numFmt numFmtId="176" formatCode="0.0%"/>
    <numFmt numFmtId="177" formatCode="#,##0_ "/>
    <numFmt numFmtId="178" formatCode="#,##0.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DD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5" fontId="0" fillId="0" borderId="0" xfId="0" applyNumberFormat="1" applyAlignment="1">
      <alignment vertical="center" shrinkToFit="1"/>
    </xf>
    <xf numFmtId="0" fontId="2" fillId="0" borderId="1" xfId="0" applyFont="1" applyBorder="1" applyAlignment="1">
      <alignment vertical="center" shrinkToFit="1"/>
    </xf>
    <xf numFmtId="5" fontId="2" fillId="0" borderId="1" xfId="0" applyNumberFormat="1" applyFont="1" applyBorder="1" applyAlignment="1">
      <alignment vertical="center" shrinkToFit="1"/>
    </xf>
    <xf numFmtId="176" fontId="2" fillId="0" borderId="1" xfId="0" applyNumberFormat="1" applyFont="1" applyBorder="1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vertical="center" shrinkToFit="1"/>
    </xf>
    <xf numFmtId="5" fontId="3" fillId="2" borderId="1" xfId="0" applyNumberFormat="1" applyFont="1" applyFill="1" applyBorder="1" applyAlignment="1">
      <alignment vertical="center" shrinkToFit="1"/>
    </xf>
    <xf numFmtId="5" fontId="0" fillId="0" borderId="1" xfId="0" applyNumberFormat="1" applyBorder="1" applyAlignment="1">
      <alignment vertical="center" shrinkToFit="1"/>
    </xf>
    <xf numFmtId="0" fontId="3" fillId="2" borderId="2" xfId="0" applyFont="1" applyFill="1" applyBorder="1">
      <alignment vertical="center"/>
    </xf>
    <xf numFmtId="178" fontId="0" fillId="0" borderId="1" xfId="0" applyNumberFormat="1" applyBorder="1" applyAlignment="1">
      <alignment vertical="center" shrinkToFit="1"/>
    </xf>
    <xf numFmtId="0" fontId="2" fillId="0" borderId="1" xfId="0" applyFont="1" applyBorder="1">
      <alignment vertical="center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5" fontId="2" fillId="0" borderId="1" xfId="0" applyNumberFormat="1" applyFont="1" applyBorder="1">
      <alignment vertical="center"/>
    </xf>
    <xf numFmtId="5" fontId="3" fillId="2" borderId="5" xfId="0" applyNumberFormat="1" applyFont="1" applyFill="1" applyBorder="1" applyAlignment="1">
      <alignment vertical="center" shrinkToFit="1"/>
    </xf>
    <xf numFmtId="176" fontId="2" fillId="0" borderId="5" xfId="0" applyNumberFormat="1" applyFont="1" applyBorder="1">
      <alignment vertical="center"/>
    </xf>
    <xf numFmtId="0" fontId="3" fillId="2" borderId="6" xfId="0" applyFont="1" applyFill="1" applyBorder="1">
      <alignment vertical="center"/>
    </xf>
    <xf numFmtId="0" fontId="6" fillId="0" borderId="0" xfId="0" applyFont="1">
      <alignment vertical="center"/>
    </xf>
    <xf numFmtId="0" fontId="6" fillId="2" borderId="1" xfId="0" applyFont="1" applyFill="1" applyBorder="1" applyAlignment="1">
      <alignment vertical="center" shrinkToFit="1"/>
    </xf>
    <xf numFmtId="5" fontId="6" fillId="2" borderId="1" xfId="0" applyNumberFormat="1" applyFont="1" applyFill="1" applyBorder="1" applyAlignment="1">
      <alignment vertical="center" shrinkToFit="1"/>
    </xf>
    <xf numFmtId="0" fontId="7" fillId="0" borderId="0" xfId="0" applyFont="1">
      <alignment vertical="center"/>
    </xf>
    <xf numFmtId="0" fontId="7" fillId="0" borderId="0" xfId="0" applyFont="1" applyAlignment="1">
      <alignment vertical="center" shrinkToFit="1"/>
    </xf>
    <xf numFmtId="5" fontId="7" fillId="0" borderId="1" xfId="0" applyNumberFormat="1" applyFont="1" applyBorder="1" applyAlignment="1">
      <alignment vertical="center" shrinkToFit="1"/>
    </xf>
    <xf numFmtId="5" fontId="7" fillId="0" borderId="0" xfId="0" applyNumberFormat="1" applyFont="1" applyAlignment="1">
      <alignment vertical="center" shrinkToFit="1"/>
    </xf>
    <xf numFmtId="177" fontId="7" fillId="0" borderId="1" xfId="0" applyNumberFormat="1" applyFont="1" applyBorder="1" applyAlignment="1">
      <alignment vertical="center" shrinkToFit="1"/>
    </xf>
    <xf numFmtId="178" fontId="7" fillId="0" borderId="1" xfId="0" applyNumberFormat="1" applyFont="1" applyBorder="1" applyAlignment="1">
      <alignment vertical="center" shrinkToFit="1"/>
    </xf>
    <xf numFmtId="12" fontId="0" fillId="0" borderId="1" xfId="0" applyNumberFormat="1" applyBorder="1" applyAlignment="1">
      <alignment horizontal="right" vertical="center" shrinkToFit="1"/>
    </xf>
    <xf numFmtId="5" fontId="4" fillId="0" borderId="1" xfId="0" applyNumberFormat="1" applyFont="1" applyBorder="1" applyAlignment="1">
      <alignment vertical="center" shrinkToFit="1"/>
    </xf>
    <xf numFmtId="177" fontId="5" fillId="0" borderId="1" xfId="0" applyNumberFormat="1" applyFont="1" applyBorder="1" applyAlignment="1">
      <alignment vertical="center" shrinkToFit="1"/>
    </xf>
    <xf numFmtId="14" fontId="6" fillId="2" borderId="1" xfId="0" applyNumberFormat="1" applyFont="1" applyFill="1" applyBorder="1" applyAlignment="1">
      <alignment vertical="center" shrinkToFit="1"/>
    </xf>
    <xf numFmtId="14" fontId="7" fillId="0" borderId="0" xfId="0" applyNumberFormat="1" applyFont="1" applyAlignment="1">
      <alignment vertical="center" shrinkToFit="1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FCD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17"/>
  <sheetViews>
    <sheetView zoomScaleNormal="100" workbookViewId="0">
      <pane ySplit="4" topLeftCell="A5" activePane="bottomLeft" state="frozen"/>
      <selection pane="bottomLeft" activeCell="I13" sqref="I13"/>
    </sheetView>
  </sheetViews>
  <sheetFormatPr defaultColWidth="8.75" defaultRowHeight="13.5" x14ac:dyDescent="0.15"/>
  <cols>
    <col min="1" max="1" width="3.875" style="22" customWidth="1"/>
    <col min="2" max="3" width="13.625" style="32" customWidth="1"/>
    <col min="4" max="11" width="13.625" style="23" customWidth="1"/>
    <col min="12" max="15" width="13.625" style="25" customWidth="1"/>
    <col min="16" max="16" width="13.625" style="22" customWidth="1"/>
    <col min="17" max="16384" width="8.75" style="22"/>
  </cols>
  <sheetData>
    <row r="4" spans="2:16" s="19" customFormat="1" x14ac:dyDescent="0.15">
      <c r="B4" s="31" t="s">
        <v>0</v>
      </c>
      <c r="C4" s="31" t="s">
        <v>1</v>
      </c>
      <c r="D4" s="20" t="s">
        <v>14</v>
      </c>
      <c r="E4" s="20" t="s">
        <v>4</v>
      </c>
      <c r="F4" s="20" t="s">
        <v>2</v>
      </c>
      <c r="G4" s="20" t="s">
        <v>6</v>
      </c>
      <c r="H4" s="20" t="s">
        <v>3</v>
      </c>
      <c r="I4" s="20" t="s">
        <v>7</v>
      </c>
      <c r="J4" s="20" t="s">
        <v>5</v>
      </c>
      <c r="K4" s="20" t="s">
        <v>15</v>
      </c>
      <c r="L4" s="21" t="s">
        <v>8</v>
      </c>
      <c r="M4" s="21" t="s">
        <v>9</v>
      </c>
      <c r="N4" s="21" t="s">
        <v>11</v>
      </c>
      <c r="O4" s="21" t="s">
        <v>10</v>
      </c>
      <c r="P4" s="21" t="s">
        <v>12</v>
      </c>
    </row>
    <row r="5" spans="2:16" x14ac:dyDescent="0.15">
      <c r="K5" s="3" t="s">
        <v>13</v>
      </c>
      <c r="L5" s="4" t="e">
        <f>SUM(#REF!)-SUM(0)</f>
        <v>#REF!</v>
      </c>
      <c r="M5" s="4" t="e">
        <f>SUM(#REF!)-SUM(0)</f>
        <v>#REF!</v>
      </c>
      <c r="N5" s="4" t="e">
        <f>SUM(#REF!)-SUM(0)</f>
        <v>#REF!</v>
      </c>
      <c r="O5" s="4" t="e">
        <f>SUM(#REF!)-SUM(0)</f>
        <v>#REF!</v>
      </c>
      <c r="P5" s="5" t="e">
        <f>O5/L5</f>
        <v>#REF!</v>
      </c>
    </row>
    <row r="7" spans="2:16" x14ac:dyDescent="0.15">
      <c r="L7" s="24" t="s">
        <v>16</v>
      </c>
      <c r="M7" s="24" t="e">
        <f>L5/M9</f>
        <v>#REF!</v>
      </c>
    </row>
    <row r="8" spans="2:16" x14ac:dyDescent="0.15">
      <c r="L8" s="24" t="s">
        <v>17</v>
      </c>
      <c r="M8" s="24" t="e">
        <f>O5/M9</f>
        <v>#REF!</v>
      </c>
    </row>
    <row r="9" spans="2:16" x14ac:dyDescent="0.15">
      <c r="L9" s="24" t="s">
        <v>18</v>
      </c>
      <c r="M9" s="26">
        <v>126</v>
      </c>
    </row>
    <row r="10" spans="2:16" x14ac:dyDescent="0.15">
      <c r="L10" s="29" t="s">
        <v>26</v>
      </c>
      <c r="M10" s="30">
        <v>29</v>
      </c>
    </row>
    <row r="11" spans="2:16" x14ac:dyDescent="0.15">
      <c r="L11" s="9" t="s">
        <v>27</v>
      </c>
      <c r="M11" s="27">
        <v>5</v>
      </c>
    </row>
    <row r="12" spans="2:16" x14ac:dyDescent="0.15">
      <c r="L12" s="9" t="s">
        <v>28</v>
      </c>
      <c r="M12" s="27">
        <v>13</v>
      </c>
    </row>
    <row r="13" spans="2:16" x14ac:dyDescent="0.15">
      <c r="L13" s="9" t="s">
        <v>25</v>
      </c>
      <c r="M13" s="27">
        <f>M12-M11</f>
        <v>8</v>
      </c>
    </row>
    <row r="14" spans="2:16" x14ac:dyDescent="0.15">
      <c r="K14" s="22"/>
      <c r="L14" s="9" t="s">
        <v>29</v>
      </c>
      <c r="M14" s="28" t="s">
        <v>33</v>
      </c>
      <c r="N14" s="22"/>
      <c r="O14" s="22"/>
    </row>
    <row r="15" spans="2:16" x14ac:dyDescent="0.15">
      <c r="K15" s="22"/>
      <c r="L15" s="9" t="s">
        <v>30</v>
      </c>
      <c r="M15" s="28" t="s">
        <v>34</v>
      </c>
      <c r="N15" s="22"/>
      <c r="O15" s="22"/>
    </row>
    <row r="16" spans="2:16" x14ac:dyDescent="0.15">
      <c r="L16" s="9" t="s">
        <v>31</v>
      </c>
      <c r="M16" s="28">
        <v>0.75</v>
      </c>
    </row>
    <row r="17" spans="12:13" x14ac:dyDescent="0.15">
      <c r="L17" s="24" t="s">
        <v>32</v>
      </c>
      <c r="M17" s="27">
        <v>1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65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S10"/>
  <sheetViews>
    <sheetView topLeftCell="F1" zoomScaleNormal="100" workbookViewId="0">
      <pane ySplit="4" topLeftCell="A5" activePane="bottomLeft" state="frozen"/>
      <selection pane="bottomLeft" activeCell="L22" sqref="L22"/>
    </sheetView>
  </sheetViews>
  <sheetFormatPr defaultRowHeight="13.5" x14ac:dyDescent="0.15"/>
  <cols>
    <col min="1" max="1" width="3.875" customWidth="1"/>
    <col min="2" max="11" width="13.625" style="1" customWidth="1"/>
    <col min="12" max="15" width="13.625" style="2" customWidth="1"/>
    <col min="16" max="16" width="13.625" customWidth="1"/>
    <col min="18" max="18" width="13.25" bestFit="1" customWidth="1"/>
    <col min="19" max="19" width="12" bestFit="1" customWidth="1"/>
  </cols>
  <sheetData>
    <row r="4" spans="2:19" s="6" customFormat="1" x14ac:dyDescent="0.15">
      <c r="B4" s="7" t="s">
        <v>0</v>
      </c>
      <c r="C4" s="7" t="s">
        <v>1</v>
      </c>
      <c r="D4" s="7" t="s">
        <v>14</v>
      </c>
      <c r="E4" s="7" t="s">
        <v>4</v>
      </c>
      <c r="F4" s="7" t="s">
        <v>2</v>
      </c>
      <c r="G4" s="7" t="s">
        <v>6</v>
      </c>
      <c r="H4" s="7" t="s">
        <v>3</v>
      </c>
      <c r="I4" s="7" t="s">
        <v>7</v>
      </c>
      <c r="J4" s="7" t="s">
        <v>5</v>
      </c>
      <c r="K4" s="7" t="s">
        <v>15</v>
      </c>
      <c r="L4" s="8" t="s">
        <v>8</v>
      </c>
      <c r="M4" s="8" t="s">
        <v>9</v>
      </c>
      <c r="N4" s="8" t="s">
        <v>11</v>
      </c>
      <c r="O4" s="8" t="s">
        <v>10</v>
      </c>
      <c r="P4" s="8" t="s">
        <v>12</v>
      </c>
      <c r="Q4" s="10" t="s">
        <v>19</v>
      </c>
      <c r="R4" s="13" t="s">
        <v>20</v>
      </c>
      <c r="S4" s="14" t="s">
        <v>21</v>
      </c>
    </row>
    <row r="5" spans="2:19" x14ac:dyDescent="0.15">
      <c r="K5" s="3" t="s">
        <v>13</v>
      </c>
      <c r="L5" s="4" t="e">
        <f>SUM(#REF!)-SUM(0)</f>
        <v>#REF!</v>
      </c>
      <c r="M5" s="4" t="e">
        <f>SUM(#REF!)-SUM(0)</f>
        <v>#REF!</v>
      </c>
      <c r="N5" s="4" t="e">
        <f>SUM(#REF!)-SUM(0)</f>
        <v>#REF!</v>
      </c>
      <c r="O5" s="4" t="e">
        <f>SUM(#REF!)-SUM(0)</f>
        <v>#REF!</v>
      </c>
      <c r="P5" s="5" t="e">
        <f>O5/L5</f>
        <v>#REF!</v>
      </c>
      <c r="Q5" s="12" t="e">
        <f>SUM(#REF!)-SUM(0)</f>
        <v>#REF!</v>
      </c>
      <c r="R5" s="15" t="e">
        <f>SUM(#REF!)-SUM(0)</f>
        <v>#REF!</v>
      </c>
      <c r="S5" s="15" t="e">
        <f>SUM(#REF!)-SUM(0)</f>
        <v>#REF!</v>
      </c>
    </row>
    <row r="7" spans="2:19" x14ac:dyDescent="0.15">
      <c r="L7" s="9" t="s">
        <v>16</v>
      </c>
      <c r="M7" s="9" t="e">
        <f>R5/Q5</f>
        <v>#REF!</v>
      </c>
    </row>
    <row r="8" spans="2:19" x14ac:dyDescent="0.15">
      <c r="L8" s="9" t="s">
        <v>17</v>
      </c>
      <c r="M8" s="9" t="e">
        <f>S5/Q5</f>
        <v>#REF!</v>
      </c>
    </row>
    <row r="9" spans="2:19" x14ac:dyDescent="0.15">
      <c r="L9" s="9" t="s">
        <v>18</v>
      </c>
      <c r="M9" s="11" t="e">
        <f>SUM(Q5)</f>
        <v>#REF!</v>
      </c>
    </row>
    <row r="10" spans="2:19" x14ac:dyDescent="0.15">
      <c r="L10" s="9" t="s">
        <v>23</v>
      </c>
      <c r="M10" s="11">
        <v>0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6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:S10"/>
  <sheetViews>
    <sheetView zoomScaleNormal="100" workbookViewId="0">
      <pane ySplit="4" topLeftCell="A5" activePane="bottomLeft" state="frozen"/>
      <selection pane="bottomLeft" activeCell="D20" sqref="D20"/>
    </sheetView>
  </sheetViews>
  <sheetFormatPr defaultRowHeight="13.5" x14ac:dyDescent="0.15"/>
  <cols>
    <col min="1" max="1" width="3.875" customWidth="1"/>
    <col min="2" max="11" width="13.625" style="1" customWidth="1"/>
    <col min="12" max="15" width="13.625" style="2" customWidth="1"/>
    <col min="16" max="16" width="13.625" customWidth="1"/>
    <col min="18" max="18" width="13.25" bestFit="1" customWidth="1"/>
    <col min="19" max="19" width="12" bestFit="1" customWidth="1"/>
  </cols>
  <sheetData>
    <row r="4" spans="2:19" s="6" customFormat="1" x14ac:dyDescent="0.15">
      <c r="B4" s="7" t="s">
        <v>0</v>
      </c>
      <c r="C4" s="7" t="s">
        <v>1</v>
      </c>
      <c r="D4" s="7" t="s">
        <v>14</v>
      </c>
      <c r="E4" s="7" t="s">
        <v>4</v>
      </c>
      <c r="F4" s="7" t="s">
        <v>2</v>
      </c>
      <c r="G4" s="7" t="s">
        <v>6</v>
      </c>
      <c r="H4" s="7" t="s">
        <v>3</v>
      </c>
      <c r="I4" s="7" t="s">
        <v>7</v>
      </c>
      <c r="J4" s="7" t="s">
        <v>5</v>
      </c>
      <c r="K4" s="7" t="s">
        <v>15</v>
      </c>
      <c r="L4" s="8" t="s">
        <v>8</v>
      </c>
      <c r="M4" s="8" t="s">
        <v>9</v>
      </c>
      <c r="N4" s="8" t="s">
        <v>11</v>
      </c>
      <c r="O4" s="8" t="s">
        <v>10</v>
      </c>
      <c r="P4" s="16" t="s">
        <v>12</v>
      </c>
      <c r="Q4" s="18" t="s">
        <v>19</v>
      </c>
      <c r="R4" s="18" t="s">
        <v>20</v>
      </c>
      <c r="S4" s="14" t="s">
        <v>21</v>
      </c>
    </row>
    <row r="5" spans="2:19" x14ac:dyDescent="0.15">
      <c r="K5" s="3" t="s">
        <v>13</v>
      </c>
      <c r="L5" s="4" t="e">
        <f>SUM(#REF!)-SUM(0)</f>
        <v>#REF!</v>
      </c>
      <c r="M5" s="4" t="e">
        <f>SUM(#REF!)-SUM(0)</f>
        <v>#REF!</v>
      </c>
      <c r="N5" s="4" t="e">
        <f>SUM(#REF!)-SUM(0)</f>
        <v>#REF!</v>
      </c>
      <c r="O5" s="4" t="e">
        <f>SUM(#REF!)-SUM(0)</f>
        <v>#REF!</v>
      </c>
      <c r="P5" s="17" t="e">
        <f>O5/L5</f>
        <v>#REF!</v>
      </c>
      <c r="Q5" s="12" t="e">
        <f>SUM(#REF!)-SUM(0)</f>
        <v>#REF!</v>
      </c>
      <c r="R5" s="15" t="e">
        <f>SUM(#REF!)-SUM(0)</f>
        <v>#REF!</v>
      </c>
      <c r="S5" s="15" t="e">
        <f>SUM(#REF!)-SUM(0)</f>
        <v>#REF!</v>
      </c>
    </row>
    <row r="7" spans="2:19" x14ac:dyDescent="0.15">
      <c r="L7" s="9" t="s">
        <v>16</v>
      </c>
      <c r="M7" s="9" t="e">
        <f>R5/Q5</f>
        <v>#REF!</v>
      </c>
    </row>
    <row r="8" spans="2:19" x14ac:dyDescent="0.15">
      <c r="L8" s="9" t="s">
        <v>17</v>
      </c>
      <c r="M8" s="9" t="e">
        <f>S5/Q5</f>
        <v>#REF!</v>
      </c>
    </row>
    <row r="9" spans="2:19" x14ac:dyDescent="0.15">
      <c r="L9" s="9" t="s">
        <v>18</v>
      </c>
      <c r="M9" s="11" t="e">
        <f>Q5</f>
        <v>#REF!</v>
      </c>
    </row>
    <row r="10" spans="2:19" x14ac:dyDescent="0.15">
      <c r="L10" s="9" t="s">
        <v>23</v>
      </c>
      <c r="M10" s="11">
        <v>0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65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S10"/>
  <sheetViews>
    <sheetView zoomScaleNormal="100" workbookViewId="0">
      <pane ySplit="4" topLeftCell="A5" activePane="bottomLeft" state="frozen"/>
      <selection pane="bottomLeft" activeCell="C24" sqref="C24"/>
    </sheetView>
  </sheetViews>
  <sheetFormatPr defaultRowHeight="13.5" x14ac:dyDescent="0.15"/>
  <cols>
    <col min="1" max="1" width="3.875" customWidth="1"/>
    <col min="2" max="11" width="13.625" style="1" customWidth="1"/>
    <col min="12" max="15" width="13.625" style="2" customWidth="1"/>
    <col min="16" max="16" width="13.625" customWidth="1"/>
    <col min="18" max="18" width="13.25" bestFit="1" customWidth="1"/>
    <col min="19" max="19" width="12" bestFit="1" customWidth="1"/>
  </cols>
  <sheetData>
    <row r="4" spans="2:19" s="6" customFormat="1" x14ac:dyDescent="0.15">
      <c r="B4" s="7" t="s">
        <v>0</v>
      </c>
      <c r="C4" s="7" t="s">
        <v>1</v>
      </c>
      <c r="D4" s="7" t="s">
        <v>14</v>
      </c>
      <c r="E4" s="7" t="s">
        <v>4</v>
      </c>
      <c r="F4" s="7" t="s">
        <v>2</v>
      </c>
      <c r="G4" s="7" t="s">
        <v>6</v>
      </c>
      <c r="H4" s="7" t="s">
        <v>3</v>
      </c>
      <c r="I4" s="7" t="s">
        <v>7</v>
      </c>
      <c r="J4" s="7" t="s">
        <v>5</v>
      </c>
      <c r="K4" s="7" t="s">
        <v>15</v>
      </c>
      <c r="L4" s="8" t="s">
        <v>8</v>
      </c>
      <c r="M4" s="8" t="s">
        <v>9</v>
      </c>
      <c r="N4" s="8" t="s">
        <v>11</v>
      </c>
      <c r="O4" s="8" t="s">
        <v>10</v>
      </c>
      <c r="P4" s="16" t="s">
        <v>12</v>
      </c>
      <c r="Q4" s="18" t="s">
        <v>19</v>
      </c>
      <c r="R4" s="18" t="s">
        <v>20</v>
      </c>
      <c r="S4" s="14" t="s">
        <v>21</v>
      </c>
    </row>
    <row r="5" spans="2:19" x14ac:dyDescent="0.15">
      <c r="K5" s="3" t="s">
        <v>13</v>
      </c>
      <c r="L5" s="4" t="e">
        <f>SUM(#REF!)-SUM(0)</f>
        <v>#REF!</v>
      </c>
      <c r="M5" s="4" t="e">
        <f>SUM(#REF!)-SUM(0)</f>
        <v>#REF!</v>
      </c>
      <c r="N5" s="4" t="e">
        <f>SUM(#REF!)-SUM(0)</f>
        <v>#REF!</v>
      </c>
      <c r="O5" s="4" t="e">
        <f>SUM(#REF!)-SUM(0)</f>
        <v>#REF!</v>
      </c>
      <c r="P5" s="17" t="e">
        <f>O5/L5</f>
        <v>#REF!</v>
      </c>
      <c r="Q5" s="12" t="e">
        <f>SUM(#REF!)-SUM(0)</f>
        <v>#REF!</v>
      </c>
      <c r="R5" s="15" t="e">
        <f>SUM(#REF!)-SUM(0)</f>
        <v>#REF!</v>
      </c>
      <c r="S5" s="15" t="e">
        <f>SUM(#REF!)-SUM(0)</f>
        <v>#REF!</v>
      </c>
    </row>
    <row r="7" spans="2:19" x14ac:dyDescent="0.15">
      <c r="L7" s="9" t="s">
        <v>16</v>
      </c>
      <c r="M7" s="9" t="e">
        <f>R5/Q5</f>
        <v>#REF!</v>
      </c>
    </row>
    <row r="8" spans="2:19" x14ac:dyDescent="0.15">
      <c r="L8" s="9" t="s">
        <v>17</v>
      </c>
      <c r="M8" s="9" t="e">
        <f>S5/Q5</f>
        <v>#REF!</v>
      </c>
    </row>
    <row r="9" spans="2:19" x14ac:dyDescent="0.15">
      <c r="L9" s="9" t="s">
        <v>18</v>
      </c>
      <c r="M9" s="11" t="e">
        <f>Q5</f>
        <v>#REF!</v>
      </c>
    </row>
    <row r="10" spans="2:19" x14ac:dyDescent="0.15">
      <c r="L10" s="9" t="s">
        <v>24</v>
      </c>
      <c r="M10" s="11">
        <v>9.5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5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:S10"/>
  <sheetViews>
    <sheetView zoomScaleNormal="100" workbookViewId="0">
      <pane ySplit="4" topLeftCell="A5" activePane="bottomLeft" state="frozen"/>
      <selection pane="bottomLeft" activeCell="D27" sqref="D27"/>
    </sheetView>
  </sheetViews>
  <sheetFormatPr defaultRowHeight="13.5" x14ac:dyDescent="0.15"/>
  <cols>
    <col min="1" max="1" width="3.875" customWidth="1"/>
    <col min="2" max="11" width="13.625" style="1" customWidth="1"/>
    <col min="12" max="15" width="13.625" style="2" customWidth="1"/>
    <col min="16" max="16" width="13.625" customWidth="1"/>
    <col min="18" max="18" width="13.25" bestFit="1" customWidth="1"/>
    <col min="19" max="19" width="12" bestFit="1" customWidth="1"/>
    <col min="20" max="21" width="14" bestFit="1" customWidth="1"/>
  </cols>
  <sheetData>
    <row r="4" spans="2:19" s="6" customFormat="1" x14ac:dyDescent="0.15">
      <c r="B4" s="7" t="s">
        <v>0</v>
      </c>
      <c r="C4" s="7" t="s">
        <v>1</v>
      </c>
      <c r="D4" s="7" t="s">
        <v>14</v>
      </c>
      <c r="E4" s="7" t="s">
        <v>4</v>
      </c>
      <c r="F4" s="7" t="s">
        <v>2</v>
      </c>
      <c r="G4" s="7" t="s">
        <v>6</v>
      </c>
      <c r="H4" s="7" t="s">
        <v>3</v>
      </c>
      <c r="I4" s="7" t="s">
        <v>7</v>
      </c>
      <c r="J4" s="7" t="s">
        <v>5</v>
      </c>
      <c r="K4" s="7" t="s">
        <v>15</v>
      </c>
      <c r="L4" s="8" t="s">
        <v>8</v>
      </c>
      <c r="M4" s="8" t="s">
        <v>9</v>
      </c>
      <c r="N4" s="8" t="s">
        <v>11</v>
      </c>
      <c r="O4" s="8" t="s">
        <v>10</v>
      </c>
      <c r="P4" s="16" t="s">
        <v>12</v>
      </c>
      <c r="Q4" s="18" t="s">
        <v>19</v>
      </c>
      <c r="R4" s="18" t="s">
        <v>20</v>
      </c>
      <c r="S4" s="14" t="s">
        <v>21</v>
      </c>
    </row>
    <row r="5" spans="2:19" x14ac:dyDescent="0.15">
      <c r="K5" s="3" t="s">
        <v>13</v>
      </c>
      <c r="L5" s="4" t="e">
        <f>SUM(#REF!)-SUM(0)</f>
        <v>#REF!</v>
      </c>
      <c r="M5" s="4" t="e">
        <f>SUM(#REF!)-SUM(0)</f>
        <v>#REF!</v>
      </c>
      <c r="N5" s="4" t="e">
        <f>SUM(#REF!)-SUM(0)</f>
        <v>#REF!</v>
      </c>
      <c r="O5" s="4" t="e">
        <f>SUM(#REF!)-SUM(0)</f>
        <v>#REF!</v>
      </c>
      <c r="P5" s="17" t="e">
        <f>O5/L5</f>
        <v>#REF!</v>
      </c>
      <c r="Q5" s="12" t="e">
        <f>SUM(#REF!)-SUM(0)</f>
        <v>#REF!</v>
      </c>
      <c r="R5" s="15" t="e">
        <f>SUM(#REF!)-SUM(0)</f>
        <v>#REF!</v>
      </c>
      <c r="S5" s="15" t="e">
        <f>SUM(#REF!)-SUM(0)</f>
        <v>#REF!</v>
      </c>
    </row>
    <row r="7" spans="2:19" x14ac:dyDescent="0.15">
      <c r="L7" s="9" t="s">
        <v>16</v>
      </c>
      <c r="M7" s="9" t="e">
        <f>R5/Q5</f>
        <v>#REF!</v>
      </c>
    </row>
    <row r="8" spans="2:19" x14ac:dyDescent="0.15">
      <c r="L8" s="9" t="s">
        <v>17</v>
      </c>
      <c r="M8" s="9" t="e">
        <f>S5/Q5</f>
        <v>#REF!</v>
      </c>
    </row>
    <row r="9" spans="2:19" x14ac:dyDescent="0.15">
      <c r="L9" s="9" t="s">
        <v>18</v>
      </c>
      <c r="M9" s="11" t="e">
        <f>Q5</f>
        <v>#REF!</v>
      </c>
    </row>
    <row r="10" spans="2:19" x14ac:dyDescent="0.15">
      <c r="L10" s="9" t="s">
        <v>22</v>
      </c>
      <c r="M10" s="11">
        <v>0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65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S10"/>
  <sheetViews>
    <sheetView zoomScaleNormal="100" workbookViewId="0">
      <pane ySplit="4" topLeftCell="A5" activePane="bottomLeft" state="frozen"/>
      <selection pane="bottomLeft" activeCell="A5" sqref="A5:XFD11"/>
    </sheetView>
  </sheetViews>
  <sheetFormatPr defaultRowHeight="13.5" x14ac:dyDescent="0.15"/>
  <cols>
    <col min="1" max="1" width="3.875" customWidth="1"/>
    <col min="2" max="11" width="13.625" style="1" customWidth="1"/>
    <col min="12" max="15" width="13.625" style="2" customWidth="1"/>
    <col min="16" max="16" width="13.625" customWidth="1"/>
    <col min="18" max="18" width="13.25" bestFit="1" customWidth="1"/>
    <col min="19" max="19" width="12" bestFit="1" customWidth="1"/>
    <col min="20" max="21" width="14" bestFit="1" customWidth="1"/>
  </cols>
  <sheetData>
    <row r="4" spans="2:19" s="6" customFormat="1" x14ac:dyDescent="0.15">
      <c r="B4" s="7" t="s">
        <v>0</v>
      </c>
      <c r="C4" s="7" t="s">
        <v>1</v>
      </c>
      <c r="D4" s="7" t="s">
        <v>14</v>
      </c>
      <c r="E4" s="7" t="s">
        <v>4</v>
      </c>
      <c r="F4" s="7" t="s">
        <v>2</v>
      </c>
      <c r="G4" s="7" t="s">
        <v>6</v>
      </c>
      <c r="H4" s="7" t="s">
        <v>3</v>
      </c>
      <c r="I4" s="7" t="s">
        <v>7</v>
      </c>
      <c r="J4" s="7" t="s">
        <v>5</v>
      </c>
      <c r="K4" s="7" t="s">
        <v>15</v>
      </c>
      <c r="L4" s="8" t="s">
        <v>8</v>
      </c>
      <c r="M4" s="8" t="s">
        <v>9</v>
      </c>
      <c r="N4" s="8" t="s">
        <v>11</v>
      </c>
      <c r="O4" s="8" t="s">
        <v>10</v>
      </c>
      <c r="P4" s="16" t="s">
        <v>12</v>
      </c>
      <c r="Q4" s="18" t="s">
        <v>19</v>
      </c>
      <c r="R4" s="18" t="s">
        <v>20</v>
      </c>
      <c r="S4" s="14" t="s">
        <v>21</v>
      </c>
    </row>
    <row r="5" spans="2:19" x14ac:dyDescent="0.15">
      <c r="K5" s="3" t="s">
        <v>13</v>
      </c>
      <c r="L5" s="4" t="e">
        <f>SUM(#REF!)-SUM(0)</f>
        <v>#REF!</v>
      </c>
      <c r="M5" s="4" t="e">
        <f>SUM(#REF!)-SUM(0)</f>
        <v>#REF!</v>
      </c>
      <c r="N5" s="4" t="e">
        <f>SUM(#REF!)-SUM(0)</f>
        <v>#REF!</v>
      </c>
      <c r="O5" s="4" t="e">
        <f>SUM(#REF!)-SUM(0)</f>
        <v>#REF!</v>
      </c>
      <c r="P5" s="17" t="e">
        <f>O5/L5</f>
        <v>#REF!</v>
      </c>
      <c r="Q5" s="12" t="e">
        <f>SUM(#REF!)-SUM(0)</f>
        <v>#REF!</v>
      </c>
      <c r="R5" s="15" t="e">
        <f>SUM(#REF!)-SUM(0)</f>
        <v>#REF!</v>
      </c>
      <c r="S5" s="15" t="e">
        <f>SUM(#REF!)-SUM(0)</f>
        <v>#REF!</v>
      </c>
    </row>
    <row r="7" spans="2:19" x14ac:dyDescent="0.15">
      <c r="L7" s="9" t="s">
        <v>16</v>
      </c>
      <c r="M7" s="9" t="e">
        <f>R5/Q5</f>
        <v>#REF!</v>
      </c>
    </row>
    <row r="8" spans="2:19" x14ac:dyDescent="0.15">
      <c r="L8" s="9" t="s">
        <v>17</v>
      </c>
      <c r="M8" s="9" t="e">
        <f>S5/Q5</f>
        <v>#REF!</v>
      </c>
    </row>
    <row r="9" spans="2:19" x14ac:dyDescent="0.15">
      <c r="L9" s="9" t="s">
        <v>18</v>
      </c>
      <c r="M9" s="11" t="e">
        <f>Q5</f>
        <v>#REF!</v>
      </c>
    </row>
    <row r="10" spans="2:19" x14ac:dyDescent="0.15">
      <c r="L10" s="9" t="s">
        <v>22</v>
      </c>
      <c r="M10" s="11">
        <v>0.5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65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P5"/>
  <sheetViews>
    <sheetView workbookViewId="0">
      <pane ySplit="4" topLeftCell="A5" activePane="bottomLeft" state="frozen"/>
      <selection pane="bottomLeft" activeCell="E24" sqref="E24"/>
    </sheetView>
  </sheetViews>
  <sheetFormatPr defaultRowHeight="13.5" x14ac:dyDescent="0.15"/>
  <cols>
    <col min="1" max="1" width="2" customWidth="1"/>
    <col min="2" max="11" width="13.625" style="1" customWidth="1"/>
    <col min="12" max="15" width="13.625" style="2" customWidth="1"/>
    <col min="16" max="16" width="13.625" customWidth="1"/>
  </cols>
  <sheetData>
    <row r="4" spans="2:16" s="6" customFormat="1" x14ac:dyDescent="0.15">
      <c r="B4" s="7" t="s">
        <v>0</v>
      </c>
      <c r="C4" s="7" t="s">
        <v>1</v>
      </c>
      <c r="D4" s="7" t="s">
        <v>14</v>
      </c>
      <c r="E4" s="7" t="s">
        <v>4</v>
      </c>
      <c r="F4" s="7" t="s">
        <v>2</v>
      </c>
      <c r="G4" s="7" t="s">
        <v>6</v>
      </c>
      <c r="H4" s="7" t="s">
        <v>3</v>
      </c>
      <c r="I4" s="7" t="s">
        <v>7</v>
      </c>
      <c r="J4" s="7" t="s">
        <v>5</v>
      </c>
      <c r="K4" s="7" t="s">
        <v>15</v>
      </c>
      <c r="L4" s="8" t="s">
        <v>8</v>
      </c>
      <c r="M4" s="8" t="s">
        <v>9</v>
      </c>
      <c r="N4" s="8" t="s">
        <v>11</v>
      </c>
      <c r="O4" s="8" t="s">
        <v>10</v>
      </c>
      <c r="P4" s="8" t="s">
        <v>12</v>
      </c>
    </row>
    <row r="5" spans="2:16" x14ac:dyDescent="0.15">
      <c r="K5" s="3" t="s">
        <v>13</v>
      </c>
      <c r="L5" s="4" t="e">
        <f>SUM(#REF!)-SUM(0)</f>
        <v>#REF!</v>
      </c>
      <c r="M5" s="4" t="e">
        <f>SUM(#REF!)-SUM(0)</f>
        <v>#REF!</v>
      </c>
      <c r="N5" s="4" t="e">
        <f>SUM(#REF!)-SUM(0)</f>
        <v>#REF!</v>
      </c>
      <c r="O5" s="4" t="e">
        <f>SUM(#REF!)-SUM(0)</f>
        <v>#REF!</v>
      </c>
      <c r="P5" s="5" t="e">
        <f>O5/L5</f>
        <v>#REF!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P5"/>
  <sheetViews>
    <sheetView workbookViewId="0">
      <pane ySplit="4" topLeftCell="A5" activePane="bottomLeft" state="frozen"/>
      <selection pane="bottomLeft" activeCell="E18" sqref="E18"/>
    </sheetView>
  </sheetViews>
  <sheetFormatPr defaultRowHeight="13.5" x14ac:dyDescent="0.15"/>
  <cols>
    <col min="1" max="1" width="2.375" customWidth="1"/>
    <col min="2" max="11" width="13.625" style="1" customWidth="1"/>
    <col min="12" max="15" width="13.625" style="2" customWidth="1"/>
    <col min="16" max="16" width="13.625" customWidth="1"/>
  </cols>
  <sheetData>
    <row r="4" spans="2:16" s="6" customFormat="1" x14ac:dyDescent="0.15">
      <c r="B4" s="7" t="s">
        <v>0</v>
      </c>
      <c r="C4" s="7" t="s">
        <v>1</v>
      </c>
      <c r="D4" s="7" t="s">
        <v>14</v>
      </c>
      <c r="E4" s="7" t="s">
        <v>4</v>
      </c>
      <c r="F4" s="7" t="s">
        <v>2</v>
      </c>
      <c r="G4" s="7" t="s">
        <v>6</v>
      </c>
      <c r="H4" s="7" t="s">
        <v>3</v>
      </c>
      <c r="I4" s="7" t="s">
        <v>7</v>
      </c>
      <c r="J4" s="7" t="s">
        <v>5</v>
      </c>
      <c r="K4" s="7" t="s">
        <v>15</v>
      </c>
      <c r="L4" s="8" t="s">
        <v>8</v>
      </c>
      <c r="M4" s="8" t="s">
        <v>9</v>
      </c>
      <c r="N4" s="8" t="s">
        <v>11</v>
      </c>
      <c r="O4" s="8" t="s">
        <v>10</v>
      </c>
      <c r="P4" s="8" t="s">
        <v>12</v>
      </c>
    </row>
    <row r="5" spans="2:16" x14ac:dyDescent="0.15">
      <c r="K5" s="3" t="s">
        <v>13</v>
      </c>
      <c r="L5" s="4" t="e">
        <f>SUM(#REF!)-SUM(0)</f>
        <v>#REF!</v>
      </c>
      <c r="M5" s="4" t="e">
        <f>SUM(#REF!)-SUM(0)</f>
        <v>#REF!</v>
      </c>
      <c r="N5" s="4" t="e">
        <f>SUM(#REF!)-SUM(0)</f>
        <v>#REF!</v>
      </c>
      <c r="O5" s="4" t="e">
        <f>SUM(#REF!)-SUM(0)</f>
        <v>#REF!</v>
      </c>
      <c r="P5" s="5" t="e">
        <f>O5/L5</f>
        <v>#REF!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4:P5"/>
  <sheetViews>
    <sheetView topLeftCell="B1" workbookViewId="0">
      <pane ySplit="4" topLeftCell="A5" activePane="bottomLeft" state="frozen"/>
      <selection pane="bottomLeft" activeCell="E26" sqref="E26"/>
    </sheetView>
  </sheetViews>
  <sheetFormatPr defaultRowHeight="13.5" x14ac:dyDescent="0.15"/>
  <cols>
    <col min="1" max="1" width="2" customWidth="1"/>
    <col min="2" max="11" width="13.625" style="1" customWidth="1"/>
    <col min="12" max="15" width="13.625" style="2" customWidth="1"/>
    <col min="16" max="16" width="13.625" customWidth="1"/>
  </cols>
  <sheetData>
    <row r="4" spans="2:16" s="6" customFormat="1" x14ac:dyDescent="0.15">
      <c r="B4" s="7" t="s">
        <v>0</v>
      </c>
      <c r="C4" s="7" t="s">
        <v>1</v>
      </c>
      <c r="D4" s="7" t="s">
        <v>14</v>
      </c>
      <c r="E4" s="7" t="s">
        <v>4</v>
      </c>
      <c r="F4" s="7" t="s">
        <v>2</v>
      </c>
      <c r="G4" s="7" t="s">
        <v>6</v>
      </c>
      <c r="H4" s="7" t="s">
        <v>3</v>
      </c>
      <c r="I4" s="7" t="s">
        <v>7</v>
      </c>
      <c r="J4" s="7" t="s">
        <v>5</v>
      </c>
      <c r="K4" s="7" t="s">
        <v>15</v>
      </c>
      <c r="L4" s="8" t="s">
        <v>8</v>
      </c>
      <c r="M4" s="8" t="s">
        <v>9</v>
      </c>
      <c r="N4" s="8" t="s">
        <v>11</v>
      </c>
      <c r="O4" s="8" t="s">
        <v>10</v>
      </c>
      <c r="P4" s="8" t="s">
        <v>12</v>
      </c>
    </row>
    <row r="5" spans="2:16" x14ac:dyDescent="0.15">
      <c r="K5" s="3" t="s">
        <v>13</v>
      </c>
      <c r="L5" s="4" t="e">
        <f>SUM(#REF!)-SUM(0)</f>
        <v>#REF!</v>
      </c>
      <c r="M5" s="4" t="e">
        <f>SUM(#REF!)-SUM(0)</f>
        <v>#REF!</v>
      </c>
      <c r="N5" s="4" t="e">
        <f>SUM(#REF!)-SUM(0)</f>
        <v>#REF!</v>
      </c>
      <c r="O5" s="4" t="e">
        <f>SUM(#REF!)-SUM(0)</f>
        <v>#REF!</v>
      </c>
      <c r="P5" s="5" t="e">
        <f>O5/L5</f>
        <v>#REF!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4:P5"/>
  <sheetViews>
    <sheetView tabSelected="1" workbookViewId="0">
      <pane ySplit="4" topLeftCell="A5" activePane="bottomLeft" state="frozen"/>
      <selection pane="bottomLeft" activeCell="B3" sqref="B3"/>
    </sheetView>
  </sheetViews>
  <sheetFormatPr defaultRowHeight="13.5" x14ac:dyDescent="0.15"/>
  <cols>
    <col min="1" max="1" width="1.75" customWidth="1"/>
    <col min="2" max="11" width="13.625" style="1" customWidth="1"/>
    <col min="12" max="15" width="13.625" style="2" customWidth="1"/>
    <col min="16" max="16" width="13.625" customWidth="1"/>
  </cols>
  <sheetData>
    <row r="4" spans="2:16" s="6" customFormat="1" x14ac:dyDescent="0.15">
      <c r="B4" s="7" t="s">
        <v>0</v>
      </c>
      <c r="C4" s="7" t="s">
        <v>1</v>
      </c>
      <c r="D4" s="7" t="s">
        <v>14</v>
      </c>
      <c r="E4" s="7" t="s">
        <v>4</v>
      </c>
      <c r="F4" s="7" t="s">
        <v>2</v>
      </c>
      <c r="G4" s="7" t="s">
        <v>6</v>
      </c>
      <c r="H4" s="7" t="s">
        <v>3</v>
      </c>
      <c r="I4" s="7" t="s">
        <v>7</v>
      </c>
      <c r="J4" s="7" t="s">
        <v>5</v>
      </c>
      <c r="K4" s="7" t="s">
        <v>15</v>
      </c>
      <c r="L4" s="8" t="s">
        <v>8</v>
      </c>
      <c r="M4" s="8" t="s">
        <v>9</v>
      </c>
      <c r="N4" s="8" t="s">
        <v>11</v>
      </c>
      <c r="O4" s="8" t="s">
        <v>10</v>
      </c>
      <c r="P4" s="8" t="s">
        <v>12</v>
      </c>
    </row>
    <row r="5" spans="2:16" x14ac:dyDescent="0.15">
      <c r="K5" s="3" t="s">
        <v>13</v>
      </c>
      <c r="L5" s="4" t="e">
        <f>SUM(#REF!)-SUM(0)</f>
        <v>#REF!</v>
      </c>
      <c r="M5" s="4" t="e">
        <f>SUM(#REF!)-SUM(0)</f>
        <v>#REF!</v>
      </c>
      <c r="N5" s="4" t="e">
        <f>SUM(#REF!)-SUM(0)</f>
        <v>#REF!</v>
      </c>
      <c r="O5" s="4" t="e">
        <f>SUM(#REF!)-SUM(0)</f>
        <v>#REF!</v>
      </c>
      <c r="P5" s="5" t="e">
        <f>O5/L5</f>
        <v>#REF!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稼働一覧</vt:lpstr>
      <vt:lpstr>渡辺一覧</vt:lpstr>
      <vt:lpstr>福田一覧</vt:lpstr>
      <vt:lpstr>木村一覧</vt:lpstr>
      <vt:lpstr>大村一覧</vt:lpstr>
      <vt:lpstr>中村一覧</vt:lpstr>
      <vt:lpstr>正社員</vt:lpstr>
      <vt:lpstr>契約社員</vt:lpstr>
      <vt:lpstr>個人事業主</vt:lpstr>
      <vt:lpstr>協力会社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大倉</dc:creator>
  <cp:lastModifiedBy>湯鵬飛</cp:lastModifiedBy>
  <cp:lastPrinted>2017-09-15T10:23:23Z</cp:lastPrinted>
  <dcterms:created xsi:type="dcterms:W3CDTF">2009-06-04T02:31:55Z</dcterms:created>
  <dcterms:modified xsi:type="dcterms:W3CDTF">2021-03-17T04:14:10Z</dcterms:modified>
</cp:coreProperties>
</file>