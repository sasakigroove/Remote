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11340" yWindow="1155" windowWidth="14805" windowHeight="8010" activeTab="9"/>
  </bookViews>
  <sheets>
    <sheet name="稼働一覧" sheetId="1" r:id="rId1"/>
    <sheet name="渡辺一覧" sheetId="2" r:id="rId2"/>
    <sheet name="福田一覧" sheetId="10" r:id="rId3"/>
    <sheet name="木村一覧" sheetId="3" r:id="rId4"/>
    <sheet name="大村一覧" sheetId="4" r:id="rId5"/>
    <sheet name="中村一覧" sheetId="5" r:id="rId6"/>
    <sheet name="正社員" sheetId="6" r:id="rId7"/>
    <sheet name="契約社員" sheetId="7" r:id="rId8"/>
    <sheet name="個人事業主" sheetId="8" r:id="rId9"/>
    <sheet name="協力会社" sheetId="9" r:id="rId10"/>
  </sheets>
  <calcPr calcId="145621"/>
</workbook>
</file>

<file path=xl/calcChain.xml><?xml version="1.0" encoding="utf-8"?>
<calcChain xmlns="http://schemas.openxmlformats.org/spreadsheetml/2006/main">
  <c r="N7" i="9" l="1"/>
  <c r="M7" i="9"/>
  <c r="L7" i="9"/>
  <c r="O6" i="9"/>
  <c r="P6" i="9" s="1"/>
  <c r="O5" i="9"/>
  <c r="O7" i="9" s="1"/>
  <c r="P7" i="9" s="1"/>
  <c r="O7" i="8"/>
  <c r="P7" i="8" s="1"/>
  <c r="N7" i="8"/>
  <c r="M7" i="8"/>
  <c r="L7" i="8"/>
  <c r="P6" i="8"/>
  <c r="O6" i="8"/>
  <c r="O5" i="8"/>
  <c r="P5" i="8" s="1"/>
  <c r="N7" i="7"/>
  <c r="M7" i="7"/>
  <c r="L7" i="7"/>
  <c r="O6" i="7"/>
  <c r="P6" i="7" s="1"/>
  <c r="O5" i="7"/>
  <c r="P5" i="7" s="1"/>
  <c r="P7" i="6"/>
  <c r="O7" i="6"/>
  <c r="N7" i="6"/>
  <c r="M7" i="6"/>
  <c r="L7" i="6"/>
  <c r="P6" i="6"/>
  <c r="O6" i="6"/>
  <c r="P5" i="6"/>
  <c r="O5" i="6"/>
  <c r="M11" i="5"/>
  <c r="M10" i="5"/>
  <c r="S8" i="5"/>
  <c r="R8" i="5"/>
  <c r="Q8" i="5"/>
  <c r="P8" i="5"/>
  <c r="O8" i="5"/>
  <c r="N8" i="5"/>
  <c r="M8" i="5"/>
  <c r="L8" i="5"/>
  <c r="S7" i="5"/>
  <c r="R7" i="5"/>
  <c r="P7" i="5"/>
  <c r="O7" i="5"/>
  <c r="S6" i="5"/>
  <c r="R6" i="5"/>
  <c r="P6" i="5"/>
  <c r="O6" i="5"/>
  <c r="S5" i="5"/>
  <c r="R5" i="5"/>
  <c r="P5" i="5"/>
  <c r="O5" i="5"/>
  <c r="M11" i="4"/>
  <c r="M10" i="4"/>
  <c r="S8" i="4"/>
  <c r="R8" i="4"/>
  <c r="Q8" i="4"/>
  <c r="P8" i="4"/>
  <c r="O8" i="4"/>
  <c r="N8" i="4"/>
  <c r="M8" i="4"/>
  <c r="L8" i="4"/>
  <c r="S7" i="4"/>
  <c r="R7" i="4"/>
  <c r="P7" i="4"/>
  <c r="O7" i="4"/>
  <c r="S6" i="4"/>
  <c r="R6" i="4"/>
  <c r="P6" i="4"/>
  <c r="O6" i="4"/>
  <c r="S5" i="4"/>
  <c r="R5" i="4"/>
  <c r="P5" i="4"/>
  <c r="O5" i="4"/>
  <c r="M11" i="3"/>
  <c r="M10" i="3"/>
  <c r="S8" i="3"/>
  <c r="R8" i="3"/>
  <c r="Q8" i="3"/>
  <c r="P8" i="3"/>
  <c r="O8" i="3"/>
  <c r="N8" i="3"/>
  <c r="M8" i="3"/>
  <c r="L8" i="3"/>
  <c r="S7" i="3"/>
  <c r="R7" i="3"/>
  <c r="P7" i="3"/>
  <c r="O7" i="3"/>
  <c r="S6" i="3"/>
  <c r="R6" i="3"/>
  <c r="P6" i="3"/>
  <c r="O6" i="3"/>
  <c r="S5" i="3"/>
  <c r="R5" i="3"/>
  <c r="P5" i="3"/>
  <c r="O5" i="3"/>
  <c r="M11" i="10"/>
  <c r="M10" i="10"/>
  <c r="S8" i="10"/>
  <c r="R8" i="10"/>
  <c r="Q8" i="10"/>
  <c r="P8" i="10"/>
  <c r="O8" i="10"/>
  <c r="N8" i="10"/>
  <c r="M8" i="10"/>
  <c r="L8" i="10"/>
  <c r="S7" i="10"/>
  <c r="R7" i="10"/>
  <c r="P7" i="10"/>
  <c r="O7" i="10"/>
  <c r="S6" i="10"/>
  <c r="R6" i="10"/>
  <c r="P6" i="10"/>
  <c r="O6" i="10"/>
  <c r="S5" i="10"/>
  <c r="R5" i="10"/>
  <c r="P5" i="10"/>
  <c r="O5" i="10"/>
  <c r="M11" i="2"/>
  <c r="M10" i="2"/>
  <c r="S8" i="2"/>
  <c r="R8" i="2"/>
  <c r="Q8" i="2"/>
  <c r="P8" i="2"/>
  <c r="O8" i="2"/>
  <c r="N8" i="2"/>
  <c r="M8" i="2"/>
  <c r="L8" i="2"/>
  <c r="S7" i="2"/>
  <c r="R7" i="2"/>
  <c r="P7" i="2"/>
  <c r="O7" i="2"/>
  <c r="S6" i="2"/>
  <c r="R6" i="2"/>
  <c r="P6" i="2"/>
  <c r="O6" i="2"/>
  <c r="S5" i="2"/>
  <c r="R5" i="2"/>
  <c r="P5" i="2"/>
  <c r="O5" i="2"/>
  <c r="M15" i="1"/>
  <c r="N7" i="1"/>
  <c r="M7" i="1"/>
  <c r="L7" i="1"/>
  <c r="M9" i="1" s="1"/>
  <c r="O6" i="1"/>
  <c r="O7" i="1" s="1"/>
  <c r="P5" i="1"/>
  <c r="O5" i="1"/>
  <c r="P5" i="9" l="1"/>
  <c r="O7" i="7"/>
  <c r="P7" i="7" s="1"/>
  <c r="P7" i="1"/>
  <c r="M10" i="1"/>
  <c r="P6" i="1"/>
</calcChain>
</file>

<file path=xl/sharedStrings.xml><?xml version="1.0" encoding="utf-8"?>
<sst xmlns="http://schemas.openxmlformats.org/spreadsheetml/2006/main" count="465" uniqueCount="115">
  <si>
    <t>稼働開始日</t>
    <rPh sb="0" eb="2">
      <t>カドウ</t>
    </rPh>
    <rPh sb="2" eb="5">
      <t>カイシビ</t>
    </rPh>
    <phoneticPr fontId="8"/>
  </si>
  <si>
    <t>稼働終了日</t>
    <rPh sb="0" eb="2">
      <t>カドウ</t>
    </rPh>
    <rPh sb="2" eb="5">
      <t>シュウリョウビ</t>
    </rPh>
    <phoneticPr fontId="8"/>
  </si>
  <si>
    <t>元請</t>
    <rPh sb="0" eb="2">
      <t>モトウ</t>
    </rPh>
    <phoneticPr fontId="8"/>
  </si>
  <si>
    <t>案件元</t>
    <rPh sb="0" eb="2">
      <t>アンケン</t>
    </rPh>
    <rPh sb="2" eb="3">
      <t>モト</t>
    </rPh>
    <phoneticPr fontId="8"/>
  </si>
  <si>
    <t>案件元営業</t>
    <rPh sb="0" eb="2">
      <t>アンケン</t>
    </rPh>
    <rPh sb="2" eb="3">
      <t>モト</t>
    </rPh>
    <rPh sb="3" eb="5">
      <t>エイギョウ</t>
    </rPh>
    <phoneticPr fontId="8"/>
  </si>
  <si>
    <t>所属会社</t>
    <rPh sb="0" eb="2">
      <t>ショゾク</t>
    </rPh>
    <rPh sb="2" eb="4">
      <t>カイシャ</t>
    </rPh>
    <phoneticPr fontId="8"/>
  </si>
  <si>
    <t>所属会社営業</t>
    <rPh sb="0" eb="2">
      <t>ショゾク</t>
    </rPh>
    <rPh sb="2" eb="4">
      <t>カイシャ</t>
    </rPh>
    <rPh sb="4" eb="6">
      <t>エイギョウ</t>
    </rPh>
    <phoneticPr fontId="8"/>
  </si>
  <si>
    <t>技術者名</t>
    <rPh sb="0" eb="3">
      <t>ギジュツシャ</t>
    </rPh>
    <rPh sb="3" eb="4">
      <t>メイ</t>
    </rPh>
    <phoneticPr fontId="8"/>
  </si>
  <si>
    <t>売上</t>
    <rPh sb="0" eb="2">
      <t>ウリアゲ</t>
    </rPh>
    <phoneticPr fontId="8"/>
  </si>
  <si>
    <t>仕入</t>
    <rPh sb="0" eb="2">
      <t>シイレ</t>
    </rPh>
    <phoneticPr fontId="8"/>
  </si>
  <si>
    <t>法定福利</t>
    <rPh sb="0" eb="2">
      <t>ホウテイ</t>
    </rPh>
    <rPh sb="2" eb="4">
      <t>フクリ</t>
    </rPh>
    <phoneticPr fontId="8"/>
  </si>
  <si>
    <t>粗利益</t>
    <rPh sb="0" eb="3">
      <t>アラリエキ</t>
    </rPh>
    <phoneticPr fontId="8"/>
  </si>
  <si>
    <t>粗利率</t>
    <rPh sb="0" eb="2">
      <t>アラリ</t>
    </rPh>
    <rPh sb="2" eb="3">
      <t>リツ</t>
    </rPh>
    <phoneticPr fontId="8"/>
  </si>
  <si>
    <t>各社</t>
    <rPh sb="0" eb="2">
      <t>カクシャ</t>
    </rPh>
    <phoneticPr fontId="8"/>
  </si>
  <si>
    <t>案件元営業さん</t>
    <rPh sb="0" eb="2">
      <t>アンケン</t>
    </rPh>
    <rPh sb="2" eb="3">
      <t>モト</t>
    </rPh>
    <rPh sb="3" eb="5">
      <t>エイギョウ</t>
    </rPh>
    <phoneticPr fontId="8"/>
  </si>
  <si>
    <t>大倉</t>
    <rPh sb="0" eb="2">
      <t>オオクラ</t>
    </rPh>
    <phoneticPr fontId="8"/>
  </si>
  <si>
    <t>佐藤　太郎</t>
    <rPh sb="0" eb="2">
      <t>サトウ</t>
    </rPh>
    <rPh sb="3" eb="5">
      <t>タロウ</t>
    </rPh>
    <phoneticPr fontId="8"/>
  </si>
  <si>
    <t>CISCO　設計構築</t>
    <rPh sb="6" eb="8">
      <t>セッケイ</t>
    </rPh>
    <rPh sb="8" eb="10">
      <t>コウチク</t>
    </rPh>
    <phoneticPr fontId="8"/>
  </si>
  <si>
    <t>山田　花子</t>
    <rPh sb="0" eb="2">
      <t>ヤマダ</t>
    </rPh>
    <rPh sb="3" eb="5">
      <t>ハナコ</t>
    </rPh>
    <phoneticPr fontId="8"/>
  </si>
  <si>
    <t>合計</t>
    <rPh sb="0" eb="2">
      <t>ゴウケイ</t>
    </rPh>
    <phoneticPr fontId="8"/>
  </si>
  <si>
    <t>平均売上</t>
    <rPh sb="0" eb="2">
      <t>ヘイキン</t>
    </rPh>
    <rPh sb="2" eb="4">
      <t>ウリアゲ</t>
    </rPh>
    <phoneticPr fontId="8"/>
  </si>
  <si>
    <t>平均利益</t>
    <rPh sb="0" eb="2">
      <t>ヘイキン</t>
    </rPh>
    <rPh sb="2" eb="4">
      <t>リエキ</t>
    </rPh>
    <phoneticPr fontId="8"/>
  </si>
  <si>
    <t>稼働件数</t>
    <rPh sb="0" eb="2">
      <t>カドウ</t>
    </rPh>
    <rPh sb="2" eb="4">
      <t>ケンスウ</t>
    </rPh>
    <phoneticPr fontId="8"/>
  </si>
  <si>
    <t>2.0/4</t>
    <phoneticPr fontId="8"/>
  </si>
  <si>
    <t>0/2.5</t>
    <phoneticPr fontId="8"/>
  </si>
  <si>
    <t>件数</t>
    <rPh sb="0" eb="2">
      <t>ケンスウ</t>
    </rPh>
    <phoneticPr fontId="8"/>
  </si>
  <si>
    <t>実売上</t>
    <rPh sb="0" eb="1">
      <t>ジツ</t>
    </rPh>
    <rPh sb="1" eb="3">
      <t>ウリアゲ</t>
    </rPh>
    <phoneticPr fontId="8"/>
  </si>
  <si>
    <t>実粗利</t>
    <rPh sb="0" eb="1">
      <t>ジツ</t>
    </rPh>
    <rPh sb="1" eb="3">
      <t>アラリ</t>
    </rPh>
    <phoneticPr fontId="8"/>
  </si>
  <si>
    <t>〇〇電気</t>
    <rPh sb="2" eb="4">
      <t>デンキ</t>
    </rPh>
    <phoneticPr fontId="8"/>
  </si>
  <si>
    <t>田中</t>
    <rPh sb="0" eb="2">
      <t>タナカ</t>
    </rPh>
    <phoneticPr fontId="8"/>
  </si>
  <si>
    <t>佐藤</t>
    <rPh sb="0" eb="2">
      <t>サトウ</t>
    </rPh>
    <phoneticPr fontId="8"/>
  </si>
  <si>
    <t>金融</t>
    <rPh sb="0" eb="2">
      <t>キンユウ</t>
    </rPh>
    <phoneticPr fontId="8"/>
  </si>
  <si>
    <t>松田</t>
    <rPh sb="0" eb="2">
      <t>マツダ</t>
    </rPh>
    <phoneticPr fontId="8"/>
  </si>
  <si>
    <t>鈴木</t>
    <rPh sb="0" eb="2">
      <t>スズキ</t>
    </rPh>
    <phoneticPr fontId="8"/>
  </si>
  <si>
    <t>Linux　Windows　運用</t>
    <rPh sb="14" eb="16">
      <t>ウンヨウ</t>
    </rPh>
    <phoneticPr fontId="8"/>
  </si>
  <si>
    <t>VBA</t>
    <phoneticPr fontId="8"/>
  </si>
  <si>
    <t>スキル</t>
    <phoneticPr fontId="8"/>
  </si>
  <si>
    <t>〇〇システム</t>
    <phoneticPr fontId="8"/>
  </si>
  <si>
    <t>技術者１</t>
    <rPh sb="0" eb="2">
      <t>ギジュツ</t>
    </rPh>
    <rPh sb="2" eb="3">
      <t>シャ</t>
    </rPh>
    <phoneticPr fontId="8"/>
  </si>
  <si>
    <t>技術者２</t>
    <rPh sb="0" eb="2">
      <t>ギジュツ</t>
    </rPh>
    <rPh sb="2" eb="3">
      <t>シャ</t>
    </rPh>
    <phoneticPr fontId="8"/>
  </si>
  <si>
    <t>〇〇ソフト</t>
    <phoneticPr fontId="8"/>
  </si>
  <si>
    <t>サイバーコム</t>
    <phoneticPr fontId="8"/>
  </si>
  <si>
    <t>技術者３</t>
    <rPh sb="0" eb="2">
      <t>ギジュツ</t>
    </rPh>
    <rPh sb="2" eb="3">
      <t>シャ</t>
    </rPh>
    <phoneticPr fontId="8"/>
  </si>
  <si>
    <t>技術者４</t>
    <rPh sb="0" eb="2">
      <t>ギジュツ</t>
    </rPh>
    <rPh sb="2" eb="3">
      <t>シャ</t>
    </rPh>
    <phoneticPr fontId="8"/>
  </si>
  <si>
    <t>Linux-C</t>
    <phoneticPr fontId="8"/>
  </si>
  <si>
    <t>技術者５</t>
    <rPh sb="0" eb="2">
      <t>ギジュツ</t>
    </rPh>
    <rPh sb="2" eb="3">
      <t>シャ</t>
    </rPh>
    <phoneticPr fontId="8"/>
  </si>
  <si>
    <t>技術者６</t>
    <rPh sb="0" eb="2">
      <t>ギジュツ</t>
    </rPh>
    <rPh sb="2" eb="3">
      <t>シャ</t>
    </rPh>
    <phoneticPr fontId="8"/>
  </si>
  <si>
    <t>技術者１０</t>
    <rPh sb="0" eb="2">
      <t>ギジュツ</t>
    </rPh>
    <rPh sb="2" eb="3">
      <t>シャ</t>
    </rPh>
    <phoneticPr fontId="8"/>
  </si>
  <si>
    <t>〇〇ソフトウェア</t>
    <phoneticPr fontId="8"/>
  </si>
  <si>
    <t>〇〇テクノロジー</t>
    <phoneticPr fontId="8"/>
  </si>
  <si>
    <t>技術者１１</t>
    <rPh sb="0" eb="2">
      <t>ギジュツ</t>
    </rPh>
    <rPh sb="2" eb="3">
      <t>シャ</t>
    </rPh>
    <phoneticPr fontId="8"/>
  </si>
  <si>
    <t>技術者１２</t>
    <rPh sb="0" eb="2">
      <t>ギジュツ</t>
    </rPh>
    <rPh sb="2" eb="3">
      <t>シャ</t>
    </rPh>
    <phoneticPr fontId="8"/>
  </si>
  <si>
    <t>A-STAR</t>
    <phoneticPr fontId="8"/>
  </si>
  <si>
    <t>技術者１３</t>
    <rPh sb="0" eb="2">
      <t>ギジュツ</t>
    </rPh>
    <rPh sb="2" eb="3">
      <t>シャ</t>
    </rPh>
    <phoneticPr fontId="8"/>
  </si>
  <si>
    <t>技術者１４</t>
    <rPh sb="0" eb="2">
      <t>ギジュツ</t>
    </rPh>
    <rPh sb="2" eb="3">
      <t>シャ</t>
    </rPh>
    <phoneticPr fontId="8"/>
  </si>
  <si>
    <t>技術者１５</t>
    <rPh sb="0" eb="2">
      <t>ギジュツ</t>
    </rPh>
    <rPh sb="2" eb="3">
      <t>シャ</t>
    </rPh>
    <phoneticPr fontId="8"/>
  </si>
  <si>
    <t>エンド</t>
    <phoneticPr fontId="8"/>
  </si>
  <si>
    <t>技術者名１６</t>
    <rPh sb="0" eb="2">
      <t>ギジュツ</t>
    </rPh>
    <rPh sb="2" eb="3">
      <t>シャ</t>
    </rPh>
    <rPh sb="3" eb="4">
      <t>メイ</t>
    </rPh>
    <phoneticPr fontId="8"/>
  </si>
  <si>
    <t>技術者名１７</t>
    <rPh sb="0" eb="2">
      <t>ギジュツ</t>
    </rPh>
    <rPh sb="2" eb="3">
      <t>シャ</t>
    </rPh>
    <rPh sb="3" eb="4">
      <t>メイ</t>
    </rPh>
    <phoneticPr fontId="8"/>
  </si>
  <si>
    <t>技術者名１８</t>
    <rPh sb="0" eb="2">
      <t>ギジュツ</t>
    </rPh>
    <rPh sb="2" eb="3">
      <t>シャ</t>
    </rPh>
    <rPh sb="3" eb="4">
      <t>メイ</t>
    </rPh>
    <phoneticPr fontId="8"/>
  </si>
  <si>
    <t>技術者名１９</t>
    <rPh sb="0" eb="2">
      <t>ギジュツ</t>
    </rPh>
    <rPh sb="2" eb="3">
      <t>シャ</t>
    </rPh>
    <rPh sb="3" eb="4">
      <t>メイ</t>
    </rPh>
    <phoneticPr fontId="8"/>
  </si>
  <si>
    <t>技術者名２０</t>
    <rPh sb="0" eb="2">
      <t>ギジュツ</t>
    </rPh>
    <rPh sb="2" eb="3">
      <t>シャ</t>
    </rPh>
    <rPh sb="3" eb="4">
      <t>メイ</t>
    </rPh>
    <phoneticPr fontId="8"/>
  </si>
  <si>
    <t>AJ</t>
    <phoneticPr fontId="8"/>
  </si>
  <si>
    <t>グルーヴディレクション</t>
    <phoneticPr fontId="8"/>
  </si>
  <si>
    <t>技術者名２１</t>
    <rPh sb="0" eb="2">
      <t>ギジュツ</t>
    </rPh>
    <rPh sb="2" eb="3">
      <t>シャ</t>
    </rPh>
    <rPh sb="3" eb="4">
      <t>メイ</t>
    </rPh>
    <phoneticPr fontId="8"/>
  </si>
  <si>
    <t>技術者名２２</t>
    <rPh sb="0" eb="2">
      <t>ギジュツ</t>
    </rPh>
    <rPh sb="2" eb="3">
      <t>シャ</t>
    </rPh>
    <rPh sb="3" eb="4">
      <t>メイ</t>
    </rPh>
    <phoneticPr fontId="8"/>
  </si>
  <si>
    <t>技術者名２３</t>
    <rPh sb="0" eb="2">
      <t>ギジュツ</t>
    </rPh>
    <rPh sb="2" eb="3">
      <t>シャ</t>
    </rPh>
    <rPh sb="3" eb="4">
      <t>メイ</t>
    </rPh>
    <phoneticPr fontId="8"/>
  </si>
  <si>
    <t>2021/10/21</t>
    <phoneticPr fontId="6"/>
  </si>
  <si>
    <t>技術者３１</t>
    <rPh sb="0" eb="2">
      <t>ギジュツ</t>
    </rPh>
    <rPh sb="2" eb="3">
      <t>シャ</t>
    </rPh>
    <phoneticPr fontId="8"/>
  </si>
  <si>
    <t>技術者３２</t>
    <rPh sb="0" eb="2">
      <t>ギジュツ</t>
    </rPh>
    <rPh sb="2" eb="3">
      <t>シャ</t>
    </rPh>
    <phoneticPr fontId="8"/>
  </si>
  <si>
    <t>技術者３３</t>
    <rPh sb="0" eb="2">
      <t>ギジュツ</t>
    </rPh>
    <rPh sb="2" eb="3">
      <t>シャ</t>
    </rPh>
    <phoneticPr fontId="8"/>
  </si>
  <si>
    <t>2012/05/14</t>
  </si>
  <si>
    <t>2022/01/31</t>
  </si>
  <si>
    <t>2012/10/01</t>
  </si>
  <si>
    <t>2022/02/20</t>
  </si>
  <si>
    <t/>
  </si>
  <si>
    <t>02月未落ち件数</t>
  </si>
  <si>
    <t>8</t>
  </si>
  <si>
    <t>02月新規受注件数</t>
  </si>
  <si>
    <t>3</t>
  </si>
  <si>
    <t>02月新規受注件数目標</t>
  </si>
  <si>
    <t>9</t>
  </si>
  <si>
    <t>02月受注件数GAP</t>
  </si>
  <si>
    <t>02月渡辺受注件数</t>
  </si>
  <si>
    <t>0</t>
  </si>
  <si>
    <t>02月木村受注件数</t>
  </si>
  <si>
    <t>02月大村受注件数</t>
  </si>
  <si>
    <t>02月中村受注件数</t>
  </si>
  <si>
    <t>02月大倉受注件数</t>
  </si>
  <si>
    <t>2013/09/01</t>
  </si>
  <si>
    <t>2021/10/31</t>
  </si>
  <si>
    <t>2014/05/01</t>
  </si>
  <si>
    <t>2021/09/30</t>
  </si>
  <si>
    <t>2015/03/01</t>
  </si>
  <si>
    <t>2021/11/30</t>
  </si>
  <si>
    <t>1</t>
  </si>
  <si>
    <t>2021/10/20</t>
  </si>
  <si>
    <t>2021/10/22</t>
  </si>
  <si>
    <t>2021/03/20</t>
  </si>
  <si>
    <t>2021/03/21</t>
  </si>
  <si>
    <t>2021/03/22</t>
  </si>
  <si>
    <t>2021/05/20</t>
  </si>
  <si>
    <t>2021/05/21</t>
  </si>
  <si>
    <t>2021/05/22</t>
  </si>
  <si>
    <t>2021/06/20</t>
  </si>
  <si>
    <t>2021/06/21</t>
  </si>
  <si>
    <t>2021/06/22</t>
  </si>
  <si>
    <t>2021/07/20</t>
  </si>
  <si>
    <t>2021/07/21</t>
  </si>
  <si>
    <t>2021/08/20</t>
  </si>
  <si>
    <t>2021/08/21</t>
  </si>
  <si>
    <t>2021/09/20</t>
  </si>
  <si>
    <t>2021/09/21</t>
  </si>
  <si>
    <t>A-STAR</t>
    <phoneticPr fontId="8"/>
  </si>
  <si>
    <r>
      <t>A</t>
    </r>
    <r>
      <rPr>
        <sz val="11"/>
        <color theme="1"/>
        <rFont val="ＭＳ Ｐゴシック"/>
        <family val="2"/>
        <charset val="128"/>
        <scheme val="minor"/>
      </rPr>
      <t>-STAR</t>
    </r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</si>
</sst>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¥&quot;#,##0;&quot;¥&quot;\-#,##0"/>
    <numFmt numFmtId="7" formatCode="&quot;¥&quot;#,##0.00;&quot;¥&quot;\-#,##0.00"/>
    <numFmt numFmtId="176" formatCode="0.0%"/>
    <numFmt numFmtId="177" formatCode="#,##0_ "/>
    <numFmt numFmtId="178" formatCode="#,##0.0_ "/>
    <numFmt numFmtId="179" formatCode="0.0_);[Red]\(0.0\)"/>
  </numFmts>
  <fonts count="54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535">
    <fill>
      <patternFill patternType="none"/>
    </fill>
    <fill>
      <patternFill patternType="gray125"/>
    </fill>
    <fill>
      <patternFill patternType="solid">
        <fgColor rgb="FFFFCDD5"/>
        <bgColor indexed="64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solid">
        <fgColor rgb="FFA9A9A9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</fills>
  <borders count="5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559">
    <xf numFmtId="0" fontId="0" fillId="0" borderId="0" xfId="0"/>
    <xf numFmtId="14" fontId="0" fillId="0" borderId="0" xfId="0" applyNumberFormat="1" applyFill="1" applyBorder="1"/>
    <xf numFmtId="0" fontId="0" fillId="0" borderId="0" xfId="0" applyFill="1" applyBorder="1"/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shrinkToFit="1"/>
    </xf>
    <xf numFmtId="5" fontId="5" fillId="0" borderId="0" xfId="0" applyNumberFormat="1" applyFont="1" applyAlignment="1">
      <alignment vertical="center" shrinkToFit="1"/>
    </xf>
    <xf numFmtId="0" fontId="7" fillId="0" borderId="0" xfId="0" applyFont="1" applyAlignment="1">
      <alignment vertical="center"/>
    </xf>
    <xf numFmtId="0" fontId="7" fillId="2" borderId="1" xfId="0" applyFont="1" applyFill="1" applyBorder="1" applyAlignment="1">
      <alignment vertical="center" shrinkToFit="1"/>
    </xf>
    <xf numFmtId="5" fontId="7" fillId="2" borderId="1" xfId="0" applyNumberFormat="1" applyFont="1" applyFill="1" applyBorder="1" applyAlignment="1">
      <alignment vertical="center" shrinkToFit="1"/>
    </xf>
    <xf numFmtId="0" fontId="7" fillId="2" borderId="2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2" borderId="4" xfId="0" applyFont="1" applyFill="1" applyBorder="1" applyAlignment="1">
      <alignment vertical="center"/>
    </xf>
    <xf numFmtId="0" fontId="0" fillId="0" borderId="0" xfId="0" applyAlignment="1">
      <alignment vertical="center" shrinkToFit="1"/>
    </xf>
    <xf numFmtId="0" fontId="9" fillId="0" borderId="1" xfId="0" applyFont="1" applyBorder="1" applyAlignment="1">
      <alignment vertical="center" shrinkToFit="1"/>
    </xf>
    <xf numFmtId="5" fontId="9" fillId="0" borderId="1" xfId="0" applyNumberFormat="1" applyFont="1" applyBorder="1" applyAlignment="1">
      <alignment vertical="center" shrinkToFit="1"/>
    </xf>
    <xf numFmtId="176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vertical="center"/>
    </xf>
    <xf numFmtId="5" fontId="9" fillId="0" borderId="1" xfId="0" applyNumberFormat="1" applyFont="1" applyBorder="1" applyAlignment="1">
      <alignment vertical="center"/>
    </xf>
    <xf numFmtId="5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49" fontId="0" fillId="0" borderId="0" xfId="0" applyNumberFormat="1" applyAlignment="1">
      <alignment vertical="center" shrinkToFit="1"/>
    </xf>
    <xf numFmtId="49" fontId="0" fillId="0" borderId="0" xfId="0" applyNumberFormat="1"/>
    <xf numFmtId="49" fontId="3" fillId="0" borderId="5" xfId="0" applyNumberFormat="1" applyFont="1" applyBorder="1" applyAlignment="1">
      <alignment vertical="center" shrinkToFit="1"/>
    </xf>
    <xf numFmtId="49" fontId="3" fillId="0" borderId="6" xfId="0" applyNumberFormat="1" applyFont="1" applyBorder="1" applyAlignment="1">
      <alignment vertical="center" shrinkToFit="1"/>
    </xf>
    <xf numFmtId="49" fontId="5" fillId="0" borderId="0" xfId="0" applyNumberFormat="1" applyFont="1" applyAlignment="1">
      <alignment vertical="center" shrinkToFit="1"/>
    </xf>
    <xf numFmtId="49" fontId="5" fillId="0" borderId="0" xfId="0" applyNumberFormat="1" applyFont="1" applyAlignment="1">
      <alignment vertical="center"/>
    </xf>
    <xf numFmtId="49" fontId="10" fillId="3" borderId="7" xfId="0" applyNumberFormat="1" applyFont="1" applyFill="1" applyBorder="1" applyAlignment="1">
      <alignment vertical="center" shrinkToFit="1"/>
    </xf>
    <xf numFmtId="49" fontId="11" fillId="4" borderId="8" xfId="0" applyNumberFormat="1" applyFont="1" applyFill="1" applyBorder="1" applyAlignment="1">
      <alignment vertical="center" shrinkToFit="1"/>
    </xf>
    <xf numFmtId="0" fontId="12" fillId="5" borderId="9" xfId="0" applyFont="1" applyFill="1" applyBorder="1" applyAlignment="1">
      <alignment vertical="center" shrinkToFit="1"/>
    </xf>
    <xf numFmtId="0" fontId="13" fillId="6" borderId="10" xfId="0" applyFont="1" applyFill="1" applyBorder="1" applyAlignment="1">
      <alignment vertical="center" shrinkToFit="1"/>
    </xf>
    <xf numFmtId="0" fontId="14" fillId="7" borderId="11" xfId="0" applyFont="1" applyFill="1" applyBorder="1" applyAlignment="1">
      <alignment vertical="center" shrinkToFit="1"/>
    </xf>
    <xf numFmtId="0" fontId="15" fillId="8" borderId="12" xfId="0" applyFont="1" applyFill="1" applyBorder="1" applyAlignment="1">
      <alignment vertical="center" shrinkToFit="1"/>
    </xf>
    <xf numFmtId="0" fontId="16" fillId="10" borderId="14" xfId="0" applyFont="1" applyFill="1" applyBorder="1" applyAlignment="1">
      <alignment vertical="center" shrinkToFit="1"/>
    </xf>
    <xf numFmtId="0" fontId="17" fillId="11" borderId="15" xfId="0" applyFont="1" applyFill="1" applyBorder="1" applyAlignment="1">
      <alignment vertical="center" shrinkToFit="1"/>
    </xf>
    <xf numFmtId="0" fontId="18" fillId="12" borderId="16" xfId="0" applyFont="1" applyFill="1" applyBorder="1" applyAlignment="1">
      <alignment vertical="center" shrinkToFit="1"/>
    </xf>
    <xf numFmtId="5" fontId="19" fillId="13" borderId="17" xfId="0" applyNumberFormat="1" applyFont="1" applyFill="1" applyBorder="1" applyAlignment="1">
      <alignment vertical="center" shrinkToFit="1"/>
    </xf>
    <xf numFmtId="5" fontId="20" fillId="14" borderId="18" xfId="0" applyNumberFormat="1" applyFont="1" applyFill="1" applyBorder="1" applyAlignment="1">
      <alignment vertical="center" shrinkToFit="1"/>
    </xf>
    <xf numFmtId="5" fontId="21" fillId="15" borderId="19" xfId="0" applyNumberFormat="1" applyFont="1" applyFill="1" applyBorder="1" applyAlignment="1">
      <alignment vertical="center" shrinkToFit="1"/>
    </xf>
    <xf numFmtId="5" fontId="22" fillId="16" borderId="20" xfId="0" applyNumberFormat="1" applyFont="1" applyFill="1" applyBorder="1" applyAlignment="1">
      <alignment vertical="center" shrinkToFit="1"/>
    </xf>
    <xf numFmtId="176" fontId="23" fillId="17" borderId="21" xfId="0" applyNumberFormat="1" applyFont="1" applyFill="1" applyBorder="1" applyAlignment="1">
      <alignment vertical="center"/>
    </xf>
    <xf numFmtId="49" fontId="24" fillId="18" borderId="22" xfId="0" applyNumberFormat="1" applyFont="1" applyFill="1" applyBorder="1" applyAlignment="1">
      <alignment vertical="center" shrinkToFit="1"/>
    </xf>
    <xf numFmtId="49" fontId="25" fillId="19" borderId="23" xfId="0" applyNumberFormat="1" applyFont="1" applyFill="1" applyBorder="1" applyAlignment="1">
      <alignment vertical="center" shrinkToFit="1"/>
    </xf>
    <xf numFmtId="0" fontId="26" fillId="20" borderId="24" xfId="0" applyFont="1" applyFill="1" applyBorder="1" applyAlignment="1">
      <alignment vertical="center" shrinkToFit="1"/>
    </xf>
    <xf numFmtId="0" fontId="27" fillId="21" borderId="25" xfId="0" applyFont="1" applyFill="1" applyBorder="1" applyAlignment="1">
      <alignment vertical="center" shrinkToFit="1"/>
    </xf>
    <xf numFmtId="0" fontId="28" fillId="22" borderId="26" xfId="0" applyFont="1" applyFill="1" applyBorder="1" applyAlignment="1">
      <alignment vertical="center" shrinkToFit="1"/>
    </xf>
    <xf numFmtId="0" fontId="29" fillId="23" borderId="27" xfId="0" applyFont="1" applyFill="1" applyBorder="1" applyAlignment="1">
      <alignment vertical="center" shrinkToFit="1"/>
    </xf>
    <xf numFmtId="0" fontId="30" fillId="25" borderId="29" xfId="0" applyFont="1" applyFill="1" applyBorder="1" applyAlignment="1">
      <alignment vertical="center" shrinkToFit="1"/>
    </xf>
    <xf numFmtId="0" fontId="31" fillId="26" borderId="30" xfId="0" applyFont="1" applyFill="1" applyBorder="1" applyAlignment="1">
      <alignment vertical="center" shrinkToFit="1"/>
    </xf>
    <xf numFmtId="0" fontId="32" fillId="27" borderId="31" xfId="0" applyFont="1" applyFill="1" applyBorder="1" applyAlignment="1">
      <alignment vertical="center" shrinkToFit="1"/>
    </xf>
    <xf numFmtId="5" fontId="33" fillId="28" borderId="32" xfId="0" applyNumberFormat="1" applyFont="1" applyFill="1" applyBorder="1" applyAlignment="1">
      <alignment vertical="center" shrinkToFit="1"/>
    </xf>
    <xf numFmtId="5" fontId="34" fillId="29" borderId="33" xfId="0" applyNumberFormat="1" applyFont="1" applyFill="1" applyBorder="1" applyAlignment="1">
      <alignment vertical="center" shrinkToFit="1"/>
    </xf>
    <xf numFmtId="5" fontId="35" fillId="30" borderId="34" xfId="0" applyNumberFormat="1" applyFont="1" applyFill="1" applyBorder="1" applyAlignment="1">
      <alignment vertical="center" shrinkToFit="1"/>
    </xf>
    <xf numFmtId="5" fontId="36" fillId="31" borderId="35" xfId="0" applyNumberFormat="1" applyFont="1" applyFill="1" applyBorder="1" applyAlignment="1">
      <alignment vertical="center" shrinkToFit="1"/>
    </xf>
    <xf numFmtId="176" fontId="37" fillId="32" borderId="36" xfId="0" applyNumberFormat="1" applyFont="1" applyFill="1" applyBorder="1" applyAlignment="1">
      <alignment vertical="center"/>
    </xf>
    <xf numFmtId="5" fontId="38" fillId="33" borderId="37" xfId="0" applyNumberFormat="1" applyFont="1" applyFill="1" applyBorder="1" applyAlignment="1">
      <alignment vertical="center" shrinkToFit="1"/>
    </xf>
    <xf numFmtId="5" fontId="39" fillId="34" borderId="38" xfId="0" applyNumberFormat="1" applyFont="1" applyFill="1" applyBorder="1" applyAlignment="1">
      <alignment vertical="center" shrinkToFit="1"/>
    </xf>
    <xf numFmtId="5" fontId="40" fillId="35" borderId="39" xfId="0" applyNumberFormat="1" applyFont="1" applyFill="1" applyBorder="1" applyAlignment="1">
      <alignment vertical="center" shrinkToFit="1"/>
    </xf>
    <xf numFmtId="5" fontId="41" fillId="36" borderId="40" xfId="0" applyNumberFormat="1" applyFont="1" applyFill="1" applyBorder="1" applyAlignment="1">
      <alignment vertical="center" shrinkToFit="1"/>
    </xf>
    <xf numFmtId="0" fontId="42" fillId="37" borderId="41" xfId="0" applyFont="1" applyFill="1" applyBorder="1" applyAlignment="1">
      <alignment vertical="center" shrinkToFit="1"/>
    </xf>
    <xf numFmtId="5" fontId="43" fillId="38" borderId="42" xfId="0" applyNumberFormat="1" applyFont="1" applyFill="1" applyBorder="1" applyAlignment="1">
      <alignment vertical="center" shrinkToFit="1"/>
    </xf>
    <xf numFmtId="5" fontId="44" fillId="39" borderId="43" xfId="0" applyNumberFormat="1" applyFont="1" applyFill="1" applyBorder="1" applyAlignment="1">
      <alignment vertical="center" shrinkToFit="1"/>
    </xf>
    <xf numFmtId="176" fontId="45" fillId="40" borderId="44" xfId="0" applyNumberFormat="1" applyFont="1" applyFill="1" applyBorder="1" applyAlignment="1">
      <alignment vertical="center"/>
    </xf>
    <xf numFmtId="5" fontId="46" fillId="41" borderId="45" xfId="0" applyNumberFormat="1" applyFont="1" applyFill="1" applyBorder="1" applyAlignment="1">
      <alignment vertical="center" shrinkToFit="1"/>
    </xf>
    <xf numFmtId="7" fontId="47" fillId="42" borderId="46" xfId="0" applyNumberFormat="1" applyFont="1" applyFill="1" applyBorder="1" applyAlignment="1">
      <alignment vertical="center" shrinkToFit="1"/>
    </xf>
    <xf numFmtId="5" fontId="48" fillId="43" borderId="47" xfId="0" applyNumberFormat="1" applyFont="1" applyFill="1" applyBorder="1" applyAlignment="1">
      <alignment vertical="center" shrinkToFit="1"/>
    </xf>
    <xf numFmtId="5" fontId="49" fillId="44" borderId="48" xfId="0" applyNumberFormat="1" applyFont="1" applyFill="1" applyBorder="1" applyAlignment="1">
      <alignment vertical="center" shrinkToFit="1"/>
    </xf>
    <xf numFmtId="5" fontId="50" fillId="45" borderId="49" xfId="0" applyNumberFormat="1" applyFont="1" applyFill="1" applyBorder="1" applyAlignment="1">
      <alignment vertical="center" shrinkToFit="1"/>
    </xf>
    <xf numFmtId="177" fontId="51" fillId="46" borderId="50" xfId="0" applyNumberFormat="1" applyFont="1" applyFill="1" applyBorder="1" applyAlignment="1">
      <alignment vertical="center" shrinkToFit="1"/>
    </xf>
    <xf numFmtId="5" fontId="52" fillId="47" borderId="51" xfId="0" applyNumberFormat="1" applyFont="1" applyFill="1" applyBorder="1" applyAlignment="1">
      <alignment vertical="center" shrinkToFit="1"/>
    </xf>
    <xf numFmtId="177" fontId="53" fillId="48" borderId="52" xfId="0" applyNumberFormat="1" applyFont="1" applyFill="1" applyBorder="1" applyAlignment="1">
      <alignment vertical="center" shrinkToFit="1"/>
    </xf>
    <xf numFmtId="5" fontId="54" fillId="49" borderId="53" xfId="0" applyNumberFormat="1" applyFont="1" applyFill="1" applyBorder="1" applyAlignment="1">
      <alignment vertical="center" shrinkToFit="1"/>
    </xf>
    <xf numFmtId="178" fontId="55" fillId="50" borderId="54" xfId="0" applyNumberFormat="1" applyFont="1" applyFill="1" applyBorder="1" applyAlignment="1">
      <alignment vertical="center" shrinkToFit="1"/>
    </xf>
    <xf numFmtId="5" fontId="56" fillId="51" borderId="55" xfId="0" applyNumberFormat="1" applyFont="1" applyFill="1" applyBorder="1" applyAlignment="1">
      <alignment vertical="center" shrinkToFit="1"/>
    </xf>
    <xf numFmtId="178" fontId="57" fillId="52" borderId="56" xfId="0" applyNumberFormat="1" applyFont="1" applyFill="1" applyBorder="1" applyAlignment="1">
      <alignment vertical="center" shrinkToFit="1"/>
    </xf>
    <xf numFmtId="5" fontId="58" fillId="53" borderId="57" xfId="0" applyNumberFormat="1" applyFont="1" applyFill="1" applyBorder="1" applyAlignment="1">
      <alignment vertical="center" shrinkToFit="1"/>
    </xf>
    <xf numFmtId="178" fontId="59" fillId="54" borderId="58" xfId="0" applyNumberFormat="1" applyFont="1" applyFill="1" applyBorder="1" applyAlignment="1">
      <alignment vertical="center" shrinkToFit="1"/>
    </xf>
    <xf numFmtId="5" fontId="60" fillId="55" borderId="59" xfId="0" applyNumberFormat="1" applyFont="1" applyFill="1" applyBorder="1" applyAlignment="1">
      <alignment vertical="center" shrinkToFit="1"/>
    </xf>
    <xf numFmtId="179" fontId="61" fillId="56" borderId="60" xfId="0" applyNumberFormat="1" applyFont="1" applyFill="1" applyBorder="1" applyAlignment="1">
      <alignment horizontal="right" vertical="center" shrinkToFit="1"/>
    </xf>
    <xf numFmtId="5" fontId="62" fillId="57" borderId="61" xfId="0" applyNumberFormat="1" applyFont="1" applyFill="1" applyBorder="1" applyAlignment="1">
      <alignment vertical="center" shrinkToFit="1"/>
    </xf>
    <xf numFmtId="12" fontId="63" fillId="58" borderId="62" xfId="0" applyNumberFormat="1" applyFont="1" applyFill="1" applyBorder="1" applyAlignment="1">
      <alignment horizontal="right" vertical="center" shrinkToFit="1"/>
    </xf>
    <xf numFmtId="5" fontId="64" fillId="59" borderId="63" xfId="0" applyNumberFormat="1" applyFont="1" applyFill="1" applyBorder="1" applyAlignment="1">
      <alignment vertical="center" shrinkToFit="1"/>
    </xf>
    <xf numFmtId="12" fontId="65" fillId="60" borderId="64" xfId="0" applyNumberFormat="1" applyFont="1" applyFill="1" applyBorder="1" applyAlignment="1">
      <alignment horizontal="right" vertical="center" shrinkToFit="1"/>
    </xf>
    <xf numFmtId="5" fontId="66" fillId="61" borderId="65" xfId="0" applyNumberFormat="1" applyFont="1" applyFill="1" applyBorder="1" applyAlignment="1">
      <alignment vertical="center" shrinkToFit="1"/>
    </xf>
    <xf numFmtId="12" fontId="67" fillId="62" borderId="66" xfId="0" applyNumberFormat="1" applyFont="1" applyFill="1" applyBorder="1" applyAlignment="1">
      <alignment horizontal="right" vertical="center" shrinkToFit="1"/>
    </xf>
    <xf numFmtId="5" fontId="68" fillId="63" borderId="67" xfId="0" applyNumberFormat="1" applyFont="1" applyFill="1" applyBorder="1" applyAlignment="1">
      <alignment vertical="center" shrinkToFit="1"/>
    </xf>
    <xf numFmtId="178" fontId="69" fillId="64" borderId="68" xfId="0" applyNumberFormat="1" applyFont="1" applyFill="1" applyBorder="1" applyAlignment="1">
      <alignment vertical="center" shrinkToFit="1"/>
    </xf>
    <xf numFmtId="49" fontId="70" fillId="65" borderId="69" xfId="0" applyNumberFormat="1" applyFont="1" applyFill="1" applyBorder="1" applyAlignment="1">
      <alignment vertical="center" shrinkToFit="1"/>
    </xf>
    <xf numFmtId="49" fontId="71" fillId="66" borderId="70" xfId="0" applyNumberFormat="1" applyFont="1" applyFill="1" applyBorder="1" applyAlignment="1">
      <alignment vertical="center" shrinkToFit="1"/>
    </xf>
    <xf numFmtId="0" fontId="72" fillId="67" borderId="71" xfId="0" applyFont="1" applyFill="1" applyBorder="1" applyAlignment="1">
      <alignment vertical="center" shrinkToFit="1"/>
    </xf>
    <xf numFmtId="0" fontId="73" fillId="68" borderId="72" xfId="0" applyFont="1" applyFill="1" applyBorder="1" applyAlignment="1">
      <alignment vertical="center" shrinkToFit="1"/>
    </xf>
    <xf numFmtId="0" fontId="74" fillId="69" borderId="73" xfId="0" applyFont="1" applyFill="1" applyBorder="1" applyAlignment="1">
      <alignment vertical="center" shrinkToFit="1"/>
    </xf>
    <xf numFmtId="0" fontId="75" fillId="70" borderId="74" xfId="0" applyFont="1" applyFill="1" applyBorder="1" applyAlignment="1">
      <alignment vertical="center" shrinkToFit="1"/>
    </xf>
    <xf numFmtId="0" fontId="76" fillId="71" borderId="75" xfId="0" applyFont="1" applyFill="1" applyBorder="1" applyAlignment="1">
      <alignment vertical="center" shrinkToFit="1"/>
    </xf>
    <xf numFmtId="0" fontId="77" fillId="72" borderId="76" xfId="0" applyFont="1" applyFill="1" applyBorder="1" applyAlignment="1">
      <alignment vertical="center" shrinkToFit="1"/>
    </xf>
    <xf numFmtId="0" fontId="78" fillId="73" borderId="77" xfId="0" applyFont="1" applyFill="1" applyBorder="1" applyAlignment="1">
      <alignment vertical="center" shrinkToFit="1"/>
    </xf>
    <xf numFmtId="0" fontId="79" fillId="74" borderId="78" xfId="0" applyFont="1" applyFill="1" applyBorder="1" applyAlignment="1">
      <alignment vertical="center" shrinkToFit="1"/>
    </xf>
    <xf numFmtId="5" fontId="80" fillId="75" borderId="79" xfId="0" applyNumberFormat="1" applyFont="1" applyFill="1" applyBorder="1" applyAlignment="1">
      <alignment vertical="center" shrinkToFit="1"/>
    </xf>
    <xf numFmtId="5" fontId="81" fillId="76" borderId="80" xfId="0" applyNumberFormat="1" applyFont="1" applyFill="1" applyBorder="1" applyAlignment="1">
      <alignment vertical="center" shrinkToFit="1"/>
    </xf>
    <xf numFmtId="5" fontId="82" fillId="77" borderId="81" xfId="0" applyNumberFormat="1" applyFont="1" applyFill="1" applyBorder="1" applyAlignment="1">
      <alignment vertical="center" shrinkToFit="1"/>
    </xf>
    <xf numFmtId="5" fontId="83" fillId="78" borderId="82" xfId="0" applyNumberFormat="1" applyFont="1" applyFill="1" applyBorder="1" applyAlignment="1">
      <alignment vertical="center" shrinkToFit="1"/>
    </xf>
    <xf numFmtId="176" fontId="84" fillId="79" borderId="83" xfId="0" applyNumberFormat="1" applyFont="1" applyFill="1" applyBorder="1" applyAlignment="1">
      <alignment vertical="center"/>
    </xf>
    <xf numFmtId="0" fontId="85" fillId="80" borderId="84" xfId="0" applyFont="1" applyFill="1" applyBorder="1" applyAlignment="1">
      <alignment vertical="center"/>
    </xf>
    <xf numFmtId="5" fontId="86" fillId="81" borderId="85" xfId="0" applyNumberFormat="1" applyFont="1" applyFill="1" applyBorder="1" applyAlignment="1">
      <alignment vertical="center"/>
    </xf>
    <xf numFmtId="5" fontId="87" fillId="82" borderId="86" xfId="0" applyNumberFormat="1" applyFont="1" applyFill="1" applyBorder="1" applyAlignment="1">
      <alignment vertical="center"/>
    </xf>
    <xf numFmtId="49" fontId="88" fillId="83" borderId="87" xfId="0" applyNumberFormat="1" applyFont="1" applyFill="1" applyBorder="1" applyAlignment="1">
      <alignment vertical="center" shrinkToFit="1"/>
    </xf>
    <xf numFmtId="49" fontId="89" fillId="84" borderId="88" xfId="0" applyNumberFormat="1" applyFont="1" applyFill="1" applyBorder="1" applyAlignment="1">
      <alignment vertical="center" shrinkToFit="1"/>
    </xf>
    <xf numFmtId="0" fontId="90" fillId="85" borderId="89" xfId="0" applyFont="1" applyFill="1" applyBorder="1" applyAlignment="1">
      <alignment vertical="center" shrinkToFit="1"/>
    </xf>
    <xf numFmtId="0" fontId="91" fillId="86" borderId="90" xfId="0" applyFont="1" applyFill="1" applyBorder="1" applyAlignment="1">
      <alignment vertical="center" shrinkToFit="1"/>
    </xf>
    <xf numFmtId="0" fontId="92" fillId="87" borderId="91" xfId="0" applyFont="1" applyFill="1" applyBorder="1" applyAlignment="1">
      <alignment vertical="center" shrinkToFit="1"/>
    </xf>
    <xf numFmtId="0" fontId="93" fillId="88" borderId="92" xfId="0" applyFont="1" applyFill="1" applyBorder="1" applyAlignment="1">
      <alignment vertical="center" shrinkToFit="1"/>
    </xf>
    <xf numFmtId="0" fontId="94" fillId="89" borderId="93" xfId="0" applyFont="1" applyFill="1" applyBorder="1" applyAlignment="1">
      <alignment vertical="center" shrinkToFit="1"/>
    </xf>
    <xf numFmtId="0" fontId="95" fillId="90" borderId="94" xfId="0" applyFont="1" applyFill="1" applyBorder="1" applyAlignment="1">
      <alignment vertical="center" shrinkToFit="1"/>
    </xf>
    <xf numFmtId="0" fontId="96" fillId="91" borderId="95" xfId="0" applyFont="1" applyFill="1" applyBorder="1" applyAlignment="1">
      <alignment vertical="center" shrinkToFit="1"/>
    </xf>
    <xf numFmtId="0" fontId="97" fillId="92" borderId="96" xfId="0" applyFont="1" applyFill="1" applyBorder="1" applyAlignment="1">
      <alignment vertical="center" shrinkToFit="1"/>
    </xf>
    <xf numFmtId="5" fontId="98" fillId="93" borderId="97" xfId="0" applyNumberFormat="1" applyFont="1" applyFill="1" applyBorder="1" applyAlignment="1">
      <alignment vertical="center" shrinkToFit="1"/>
    </xf>
    <xf numFmtId="5" fontId="99" fillId="94" borderId="98" xfId="0" applyNumberFormat="1" applyFont="1" applyFill="1" applyBorder="1" applyAlignment="1">
      <alignment vertical="center" shrinkToFit="1"/>
    </xf>
    <xf numFmtId="5" fontId="100" fillId="95" borderId="99" xfId="0" applyNumberFormat="1" applyFont="1" applyFill="1" applyBorder="1" applyAlignment="1">
      <alignment vertical="center" shrinkToFit="1"/>
    </xf>
    <xf numFmtId="5" fontId="101" fillId="96" borderId="100" xfId="0" applyNumberFormat="1" applyFont="1" applyFill="1" applyBorder="1" applyAlignment="1">
      <alignment vertical="center" shrinkToFit="1"/>
    </xf>
    <xf numFmtId="176" fontId="102" fillId="97" borderId="101" xfId="0" applyNumberFormat="1" applyFont="1" applyFill="1" applyBorder="1" applyAlignment="1">
      <alignment vertical="center"/>
    </xf>
    <xf numFmtId="0" fontId="103" fillId="98" borderId="102" xfId="0" applyFont="1" applyFill="1" applyBorder="1" applyAlignment="1">
      <alignment vertical="center"/>
    </xf>
    <xf numFmtId="5" fontId="104" fillId="99" borderId="103" xfId="0" applyNumberFormat="1" applyFont="1" applyFill="1" applyBorder="1" applyAlignment="1">
      <alignment vertical="center"/>
    </xf>
    <xf numFmtId="5" fontId="105" fillId="100" borderId="104" xfId="0" applyNumberFormat="1" applyFont="1" applyFill="1" applyBorder="1" applyAlignment="1">
      <alignment vertical="center"/>
    </xf>
    <xf numFmtId="49" fontId="106" fillId="101" borderId="105" xfId="0" applyNumberFormat="1" applyFont="1" applyFill="1" applyBorder="1" applyAlignment="1">
      <alignment vertical="center" shrinkToFit="1"/>
    </xf>
    <xf numFmtId="49" fontId="107" fillId="102" borderId="106" xfId="0" applyNumberFormat="1" applyFont="1" applyFill="1" applyBorder="1" applyAlignment="1">
      <alignment vertical="center" shrinkToFit="1"/>
    </xf>
    <xf numFmtId="0" fontId="108" fillId="103" borderId="107" xfId="0" applyFont="1" applyFill="1" applyBorder="1" applyAlignment="1">
      <alignment vertical="center" shrinkToFit="1"/>
    </xf>
    <xf numFmtId="0" fontId="109" fillId="104" borderId="108" xfId="0" applyFont="1" applyFill="1" applyBorder="1" applyAlignment="1">
      <alignment vertical="center" shrinkToFit="1"/>
    </xf>
    <xf numFmtId="0" fontId="110" fillId="105" borderId="109" xfId="0" applyFont="1" applyFill="1" applyBorder="1" applyAlignment="1">
      <alignment vertical="center" shrinkToFit="1"/>
    </xf>
    <xf numFmtId="0" fontId="111" fillId="106" borderId="110" xfId="0" applyFont="1" applyFill="1" applyBorder="1" applyAlignment="1">
      <alignment vertical="center" shrinkToFit="1"/>
    </xf>
    <xf numFmtId="0" fontId="112" fillId="107" borderId="111" xfId="0" applyFont="1" applyFill="1" applyBorder="1" applyAlignment="1">
      <alignment vertical="center" shrinkToFit="1"/>
    </xf>
    <xf numFmtId="0" fontId="113" fillId="108" borderId="112" xfId="0" applyFont="1" applyFill="1" applyBorder="1" applyAlignment="1">
      <alignment vertical="center" shrinkToFit="1"/>
    </xf>
    <xf numFmtId="0" fontId="114" fillId="109" borderId="113" xfId="0" applyFont="1" applyFill="1" applyBorder="1" applyAlignment="1">
      <alignment vertical="center" shrinkToFit="1"/>
    </xf>
    <xf numFmtId="0" fontId="115" fillId="110" borderId="114" xfId="0" applyFont="1" applyFill="1" applyBorder="1" applyAlignment="1">
      <alignment vertical="center" shrinkToFit="1"/>
    </xf>
    <xf numFmtId="5" fontId="116" fillId="111" borderId="115" xfId="0" applyNumberFormat="1" applyFont="1" applyFill="1" applyBorder="1" applyAlignment="1">
      <alignment vertical="center" shrinkToFit="1"/>
    </xf>
    <xf numFmtId="5" fontId="117" fillId="112" borderId="116" xfId="0" applyNumberFormat="1" applyFont="1" applyFill="1" applyBorder="1" applyAlignment="1">
      <alignment vertical="center" shrinkToFit="1"/>
    </xf>
    <xf numFmtId="5" fontId="118" fillId="113" borderId="117" xfId="0" applyNumberFormat="1" applyFont="1" applyFill="1" applyBorder="1" applyAlignment="1">
      <alignment vertical="center" shrinkToFit="1"/>
    </xf>
    <xf numFmtId="5" fontId="119" fillId="114" borderId="118" xfId="0" applyNumberFormat="1" applyFont="1" applyFill="1" applyBorder="1" applyAlignment="1">
      <alignment vertical="center" shrinkToFit="1"/>
    </xf>
    <xf numFmtId="176" fontId="120" fillId="115" borderId="119" xfId="0" applyNumberFormat="1" applyFont="1" applyFill="1" applyBorder="1" applyAlignment="1">
      <alignment vertical="center"/>
    </xf>
    <xf numFmtId="0" fontId="121" fillId="116" borderId="120" xfId="0" applyFont="1" applyFill="1" applyBorder="1" applyAlignment="1">
      <alignment vertical="center"/>
    </xf>
    <xf numFmtId="5" fontId="122" fillId="117" borderId="121" xfId="0" applyNumberFormat="1" applyFont="1" applyFill="1" applyBorder="1" applyAlignment="1">
      <alignment vertical="center"/>
    </xf>
    <xf numFmtId="5" fontId="123" fillId="118" borderId="122" xfId="0" applyNumberFormat="1" applyFont="1" applyFill="1" applyBorder="1" applyAlignment="1">
      <alignment vertical="center"/>
    </xf>
    <xf numFmtId="5" fontId="124" fillId="119" borderId="123" xfId="0" applyNumberFormat="1" applyFont="1" applyFill="1" applyBorder="1" applyAlignment="1">
      <alignment vertical="center" shrinkToFit="1"/>
    </xf>
    <xf numFmtId="5" fontId="125" fillId="120" borderId="124" xfId="0" applyNumberFormat="1" applyFont="1" applyFill="1" applyBorder="1" applyAlignment="1">
      <alignment vertical="center" shrinkToFit="1"/>
    </xf>
    <xf numFmtId="5" fontId="126" fillId="121" borderId="125" xfId="0" applyNumberFormat="1" applyFont="1" applyFill="1" applyBorder="1" applyAlignment="1">
      <alignment vertical="center" shrinkToFit="1"/>
    </xf>
    <xf numFmtId="5" fontId="127" fillId="122" borderId="126" xfId="0" applyNumberFormat="1" applyFont="1" applyFill="1" applyBorder="1" applyAlignment="1">
      <alignment vertical="center" shrinkToFit="1"/>
    </xf>
    <xf numFmtId="0" fontId="128" fillId="123" borderId="127" xfId="0" applyFont="1" applyFill="1" applyBorder="1" applyAlignment="1">
      <alignment vertical="center" shrinkToFit="1"/>
    </xf>
    <xf numFmtId="5" fontId="129" fillId="124" borderId="128" xfId="0" applyNumberFormat="1" applyFont="1" applyFill="1" applyBorder="1" applyAlignment="1">
      <alignment vertical="center" shrinkToFit="1"/>
    </xf>
    <xf numFmtId="5" fontId="130" fillId="125" borderId="129" xfId="0" applyNumberFormat="1" applyFont="1" applyFill="1" applyBorder="1" applyAlignment="1">
      <alignment vertical="center" shrinkToFit="1"/>
    </xf>
    <xf numFmtId="176" fontId="131" fillId="126" borderId="130" xfId="0" applyNumberFormat="1" applyFont="1" applyFill="1" applyBorder="1" applyAlignment="1">
      <alignment vertical="center"/>
    </xf>
    <xf numFmtId="5" fontId="132" fillId="127" borderId="131" xfId="0" applyNumberFormat="1" applyFont="1" applyFill="1" applyBorder="1" applyAlignment="1">
      <alignment vertical="center" shrinkToFit="1"/>
    </xf>
    <xf numFmtId="5" fontId="133" fillId="128" borderId="132" xfId="0" applyNumberFormat="1" applyFont="1" applyFill="1" applyBorder="1" applyAlignment="1">
      <alignment vertical="center" shrinkToFit="1"/>
    </xf>
    <xf numFmtId="5" fontId="134" fillId="129" borderId="133" xfId="0" applyNumberFormat="1" applyFont="1" applyFill="1" applyBorder="1" applyAlignment="1">
      <alignment vertical="center" shrinkToFit="1"/>
    </xf>
    <xf numFmtId="5" fontId="135" fillId="130" borderId="134" xfId="0" applyNumberFormat="1" applyFont="1" applyFill="1" applyBorder="1" applyAlignment="1">
      <alignment vertical="center" shrinkToFit="1"/>
    </xf>
    <xf numFmtId="5" fontId="136" fillId="131" borderId="135" xfId="0" applyNumberFormat="1" applyFont="1" applyFill="1" applyBorder="1" applyAlignment="1">
      <alignment vertical="center" shrinkToFit="1"/>
    </xf>
    <xf numFmtId="178" fontId="137" fillId="132" borderId="136" xfId="0" applyNumberFormat="1" applyFont="1" applyFill="1" applyBorder="1" applyAlignment="1">
      <alignment vertical="center" shrinkToFit="1"/>
    </xf>
    <xf numFmtId="5" fontId="138" fillId="133" borderId="137" xfId="0" applyNumberFormat="1" applyFont="1" applyFill="1" applyBorder="1" applyAlignment="1">
      <alignment vertical="center" shrinkToFit="1"/>
    </xf>
    <xf numFmtId="178" fontId="139" fillId="134" borderId="138" xfId="0" applyNumberFormat="1" applyFont="1" applyFill="1" applyBorder="1" applyAlignment="1">
      <alignment vertical="center" shrinkToFit="1"/>
    </xf>
    <xf numFmtId="49" fontId="140" fillId="135" borderId="139" xfId="0" applyNumberFormat="1" applyFont="1" applyFill="1" applyBorder="1" applyAlignment="1">
      <alignment vertical="center" shrinkToFit="1"/>
    </xf>
    <xf numFmtId="49" fontId="141" fillId="136" borderId="140" xfId="0" applyNumberFormat="1" applyFont="1" applyFill="1" applyBorder="1" applyAlignment="1">
      <alignment vertical="center" shrinkToFit="1"/>
    </xf>
    <xf numFmtId="0" fontId="142" fillId="137" borderId="141" xfId="0" applyFont="1" applyFill="1" applyBorder="1" applyAlignment="1">
      <alignment vertical="center" shrinkToFit="1"/>
    </xf>
    <xf numFmtId="0" fontId="143" fillId="138" borderId="142" xfId="0" applyFont="1" applyFill="1" applyBorder="1" applyAlignment="1">
      <alignment vertical="center" shrinkToFit="1"/>
    </xf>
    <xf numFmtId="0" fontId="144" fillId="139" borderId="143" xfId="0" applyFont="1" applyFill="1" applyBorder="1" applyAlignment="1">
      <alignment vertical="center" shrinkToFit="1"/>
    </xf>
    <xf numFmtId="0" fontId="145" fillId="140" borderId="144" xfId="0" applyFont="1" applyFill="1" applyBorder="1" applyAlignment="1">
      <alignment vertical="center" shrinkToFit="1"/>
    </xf>
    <xf numFmtId="0" fontId="146" fillId="141" borderId="145" xfId="0" applyFont="1" applyFill="1" applyBorder="1" applyAlignment="1">
      <alignment vertical="center" shrinkToFit="1"/>
    </xf>
    <xf numFmtId="0" fontId="147" fillId="142" borderId="146" xfId="0" applyFont="1" applyFill="1" applyBorder="1" applyAlignment="1">
      <alignment vertical="center" shrinkToFit="1"/>
    </xf>
    <xf numFmtId="0" fontId="148" fillId="143" borderId="147" xfId="0" applyFont="1" applyFill="1" applyBorder="1" applyAlignment="1">
      <alignment vertical="center" shrinkToFit="1"/>
    </xf>
    <xf numFmtId="0" fontId="149" fillId="144" borderId="148" xfId="0" applyFont="1" applyFill="1" applyBorder="1" applyAlignment="1">
      <alignment vertical="center" shrinkToFit="1"/>
    </xf>
    <xf numFmtId="5" fontId="150" fillId="145" borderId="149" xfId="0" applyNumberFormat="1" applyFont="1" applyFill="1" applyBorder="1" applyAlignment="1">
      <alignment vertical="center" shrinkToFit="1"/>
    </xf>
    <xf numFmtId="5" fontId="151" fillId="146" borderId="150" xfId="0" applyNumberFormat="1" applyFont="1" applyFill="1" applyBorder="1" applyAlignment="1">
      <alignment vertical="center" shrinkToFit="1"/>
    </xf>
    <xf numFmtId="5" fontId="152" fillId="147" borderId="151" xfId="0" applyNumberFormat="1" applyFont="1" applyFill="1" applyBorder="1" applyAlignment="1">
      <alignment vertical="center" shrinkToFit="1"/>
    </xf>
    <xf numFmtId="5" fontId="153" fillId="148" borderId="152" xfId="0" applyNumberFormat="1" applyFont="1" applyFill="1" applyBorder="1" applyAlignment="1">
      <alignment vertical="center" shrinkToFit="1"/>
    </xf>
    <xf numFmtId="176" fontId="154" fillId="149" borderId="153" xfId="0" applyNumberFormat="1" applyFont="1" applyFill="1" applyBorder="1" applyAlignment="1">
      <alignment vertical="center"/>
    </xf>
    <xf numFmtId="0" fontId="155" fillId="150" borderId="154" xfId="0" applyFont="1" applyFill="1" applyBorder="1" applyAlignment="1">
      <alignment vertical="center"/>
    </xf>
    <xf numFmtId="5" fontId="156" fillId="151" borderId="155" xfId="0" applyNumberFormat="1" applyFont="1" applyFill="1" applyBorder="1" applyAlignment="1">
      <alignment vertical="center"/>
    </xf>
    <xf numFmtId="5" fontId="157" fillId="152" borderId="156" xfId="0" applyNumberFormat="1" applyFont="1" applyFill="1" applyBorder="1" applyAlignment="1">
      <alignment vertical="center"/>
    </xf>
    <xf numFmtId="49" fontId="158" fillId="153" borderId="157" xfId="0" applyNumberFormat="1" applyFont="1" applyFill="1" applyBorder="1" applyAlignment="1">
      <alignment vertical="center" shrinkToFit="1"/>
    </xf>
    <xf numFmtId="49" fontId="159" fillId="154" borderId="158" xfId="0" applyNumberFormat="1" applyFont="1" applyFill="1" applyBorder="1" applyAlignment="1">
      <alignment vertical="center" shrinkToFit="1"/>
    </xf>
    <xf numFmtId="0" fontId="160" fillId="155" borderId="159" xfId="0" applyFont="1" applyFill="1" applyBorder="1" applyAlignment="1">
      <alignment vertical="center" shrinkToFit="1"/>
    </xf>
    <xf numFmtId="0" fontId="161" fillId="156" borderId="160" xfId="0" applyFont="1" applyFill="1" applyBorder="1" applyAlignment="1">
      <alignment vertical="center" shrinkToFit="1"/>
    </xf>
    <xf numFmtId="0" fontId="162" fillId="157" borderId="161" xfId="0" applyFont="1" applyFill="1" applyBorder="1" applyAlignment="1">
      <alignment vertical="center" shrinkToFit="1"/>
    </xf>
    <xf numFmtId="0" fontId="163" fillId="158" borderId="162" xfId="0" applyFont="1" applyFill="1" applyBorder="1" applyAlignment="1">
      <alignment vertical="center" shrinkToFit="1"/>
    </xf>
    <xf numFmtId="0" fontId="164" fillId="159" borderId="163" xfId="0" applyFont="1" applyFill="1" applyBorder="1" applyAlignment="1">
      <alignment vertical="center" shrinkToFit="1"/>
    </xf>
    <xf numFmtId="0" fontId="165" fillId="160" borderId="164" xfId="0" applyFont="1" applyFill="1" applyBorder="1" applyAlignment="1">
      <alignment vertical="center" shrinkToFit="1"/>
    </xf>
    <xf numFmtId="0" fontId="166" fillId="161" borderId="165" xfId="0" applyFont="1" applyFill="1" applyBorder="1" applyAlignment="1">
      <alignment vertical="center" shrinkToFit="1"/>
    </xf>
    <xf numFmtId="0" fontId="167" fillId="162" borderId="166" xfId="0" applyFont="1" applyFill="1" applyBorder="1" applyAlignment="1">
      <alignment vertical="center" shrinkToFit="1"/>
    </xf>
    <xf numFmtId="5" fontId="168" fillId="163" borderId="167" xfId="0" applyNumberFormat="1" applyFont="1" applyFill="1" applyBorder="1" applyAlignment="1">
      <alignment vertical="center" shrinkToFit="1"/>
    </xf>
    <xf numFmtId="5" fontId="169" fillId="164" borderId="168" xfId="0" applyNumberFormat="1" applyFont="1" applyFill="1" applyBorder="1" applyAlignment="1">
      <alignment vertical="center" shrinkToFit="1"/>
    </xf>
    <xf numFmtId="5" fontId="170" fillId="165" borderId="169" xfId="0" applyNumberFormat="1" applyFont="1" applyFill="1" applyBorder="1" applyAlignment="1">
      <alignment vertical="center" shrinkToFit="1"/>
    </xf>
    <xf numFmtId="5" fontId="171" fillId="166" borderId="170" xfId="0" applyNumberFormat="1" applyFont="1" applyFill="1" applyBorder="1" applyAlignment="1">
      <alignment vertical="center" shrinkToFit="1"/>
    </xf>
    <xf numFmtId="176" fontId="172" fillId="167" borderId="171" xfId="0" applyNumberFormat="1" applyFont="1" applyFill="1" applyBorder="1" applyAlignment="1">
      <alignment vertical="center"/>
    </xf>
    <xf numFmtId="0" fontId="173" fillId="168" borderId="172" xfId="0" applyFont="1" applyFill="1" applyBorder="1" applyAlignment="1">
      <alignment vertical="center"/>
    </xf>
    <xf numFmtId="5" fontId="174" fillId="169" borderId="173" xfId="0" applyNumberFormat="1" applyFont="1" applyFill="1" applyBorder="1" applyAlignment="1">
      <alignment vertical="center"/>
    </xf>
    <xf numFmtId="5" fontId="175" fillId="170" borderId="174" xfId="0" applyNumberFormat="1" applyFont="1" applyFill="1" applyBorder="1" applyAlignment="1">
      <alignment vertical="center"/>
    </xf>
    <xf numFmtId="49" fontId="176" fillId="171" borderId="175" xfId="0" applyNumberFormat="1" applyFont="1" applyFill="1" applyBorder="1" applyAlignment="1">
      <alignment vertical="center" shrinkToFit="1"/>
    </xf>
    <xf numFmtId="49" fontId="177" fillId="172" borderId="176" xfId="0" applyNumberFormat="1" applyFont="1" applyFill="1" applyBorder="1" applyAlignment="1">
      <alignment vertical="center" shrinkToFit="1"/>
    </xf>
    <xf numFmtId="0" fontId="178" fillId="173" borderId="177" xfId="0" applyFont="1" applyFill="1" applyBorder="1" applyAlignment="1">
      <alignment vertical="center" shrinkToFit="1"/>
    </xf>
    <xf numFmtId="0" fontId="179" fillId="174" borderId="178" xfId="0" applyFont="1" applyFill="1" applyBorder="1" applyAlignment="1">
      <alignment vertical="center" shrinkToFit="1"/>
    </xf>
    <xf numFmtId="0" fontId="180" fillId="175" borderId="179" xfId="0" applyFont="1" applyFill="1" applyBorder="1" applyAlignment="1">
      <alignment vertical="center" shrinkToFit="1"/>
    </xf>
    <xf numFmtId="0" fontId="181" fillId="176" borderId="180" xfId="0" applyFont="1" applyFill="1" applyBorder="1" applyAlignment="1">
      <alignment vertical="center" shrinkToFit="1"/>
    </xf>
    <xf numFmtId="0" fontId="182" fillId="177" borderId="181" xfId="0" applyFont="1" applyFill="1" applyBorder="1" applyAlignment="1">
      <alignment vertical="center" shrinkToFit="1"/>
    </xf>
    <xf numFmtId="0" fontId="183" fillId="178" borderId="182" xfId="0" applyFont="1" applyFill="1" applyBorder="1" applyAlignment="1">
      <alignment vertical="center" shrinkToFit="1"/>
    </xf>
    <xf numFmtId="0" fontId="184" fillId="179" borderId="183" xfId="0" applyFont="1" applyFill="1" applyBorder="1" applyAlignment="1">
      <alignment vertical="center" shrinkToFit="1"/>
    </xf>
    <xf numFmtId="0" fontId="185" fillId="180" borderId="184" xfId="0" applyFont="1" applyFill="1" applyBorder="1" applyAlignment="1">
      <alignment vertical="center" shrinkToFit="1"/>
    </xf>
    <xf numFmtId="5" fontId="186" fillId="181" borderId="185" xfId="0" applyNumberFormat="1" applyFont="1" applyFill="1" applyBorder="1" applyAlignment="1">
      <alignment vertical="center" shrinkToFit="1"/>
    </xf>
    <xf numFmtId="5" fontId="187" fillId="182" borderId="186" xfId="0" applyNumberFormat="1" applyFont="1" applyFill="1" applyBorder="1" applyAlignment="1">
      <alignment vertical="center" shrinkToFit="1"/>
    </xf>
    <xf numFmtId="5" fontId="188" fillId="183" borderId="187" xfId="0" applyNumberFormat="1" applyFont="1" applyFill="1" applyBorder="1" applyAlignment="1">
      <alignment vertical="center" shrinkToFit="1"/>
    </xf>
    <xf numFmtId="5" fontId="189" fillId="184" borderId="188" xfId="0" applyNumberFormat="1" applyFont="1" applyFill="1" applyBorder="1" applyAlignment="1">
      <alignment vertical="center" shrinkToFit="1"/>
    </xf>
    <xf numFmtId="176" fontId="190" fillId="185" borderId="189" xfId="0" applyNumberFormat="1" applyFont="1" applyFill="1" applyBorder="1" applyAlignment="1">
      <alignment vertical="center"/>
    </xf>
    <xf numFmtId="0" fontId="191" fillId="186" borderId="190" xfId="0" applyFont="1" applyFill="1" applyBorder="1" applyAlignment="1">
      <alignment vertical="center"/>
    </xf>
    <xf numFmtId="5" fontId="192" fillId="187" borderId="191" xfId="0" applyNumberFormat="1" applyFont="1" applyFill="1" applyBorder="1" applyAlignment="1">
      <alignment vertical="center"/>
    </xf>
    <xf numFmtId="5" fontId="193" fillId="188" borderId="192" xfId="0" applyNumberFormat="1" applyFont="1" applyFill="1" applyBorder="1" applyAlignment="1">
      <alignment vertical="center"/>
    </xf>
    <xf numFmtId="5" fontId="194" fillId="189" borderId="193" xfId="0" applyNumberFormat="1" applyFont="1" applyFill="1" applyBorder="1" applyAlignment="1">
      <alignment vertical="center" shrinkToFit="1"/>
    </xf>
    <xf numFmtId="5" fontId="195" fillId="190" borderId="194" xfId="0" applyNumberFormat="1" applyFont="1" applyFill="1" applyBorder="1" applyAlignment="1">
      <alignment vertical="center" shrinkToFit="1"/>
    </xf>
    <xf numFmtId="5" fontId="196" fillId="191" borderId="195" xfId="0" applyNumberFormat="1" applyFont="1" applyFill="1" applyBorder="1" applyAlignment="1">
      <alignment vertical="center" shrinkToFit="1"/>
    </xf>
    <xf numFmtId="5" fontId="197" fillId="192" borderId="196" xfId="0" applyNumberFormat="1" applyFont="1" applyFill="1" applyBorder="1" applyAlignment="1">
      <alignment vertical="center" shrinkToFit="1"/>
    </xf>
    <xf numFmtId="0" fontId="198" fillId="193" borderId="197" xfId="0" applyFont="1" applyFill="1" applyBorder="1" applyAlignment="1">
      <alignment vertical="center" shrinkToFit="1"/>
    </xf>
    <xf numFmtId="5" fontId="199" fillId="194" borderId="198" xfId="0" applyNumberFormat="1" applyFont="1" applyFill="1" applyBorder="1" applyAlignment="1">
      <alignment vertical="center" shrinkToFit="1"/>
    </xf>
    <xf numFmtId="5" fontId="200" fillId="195" borderId="199" xfId="0" applyNumberFormat="1" applyFont="1" applyFill="1" applyBorder="1" applyAlignment="1">
      <alignment vertical="center" shrinkToFit="1"/>
    </xf>
    <xf numFmtId="176" fontId="201" fillId="196" borderId="200" xfId="0" applyNumberFormat="1" applyFont="1" applyFill="1" applyBorder="1" applyAlignment="1">
      <alignment vertical="center"/>
    </xf>
    <xf numFmtId="5" fontId="202" fillId="197" borderId="201" xfId="0" applyNumberFormat="1" applyFont="1" applyFill="1" applyBorder="1" applyAlignment="1">
      <alignment vertical="center" shrinkToFit="1"/>
    </xf>
    <xf numFmtId="5" fontId="203" fillId="198" borderId="202" xfId="0" applyNumberFormat="1" applyFont="1" applyFill="1" applyBorder="1" applyAlignment="1">
      <alignment vertical="center" shrinkToFit="1"/>
    </xf>
    <xf numFmtId="5" fontId="204" fillId="199" borderId="203" xfId="0" applyNumberFormat="1" applyFont="1" applyFill="1" applyBorder="1" applyAlignment="1">
      <alignment vertical="center" shrinkToFit="1"/>
    </xf>
    <xf numFmtId="5" fontId="205" fillId="200" borderId="204" xfId="0" applyNumberFormat="1" applyFont="1" applyFill="1" applyBorder="1" applyAlignment="1">
      <alignment vertical="center" shrinkToFit="1"/>
    </xf>
    <xf numFmtId="5" fontId="206" fillId="201" borderId="205" xfId="0" applyNumberFormat="1" applyFont="1" applyFill="1" applyBorder="1" applyAlignment="1">
      <alignment vertical="center" shrinkToFit="1"/>
    </xf>
    <xf numFmtId="178" fontId="207" fillId="202" borderId="206" xfId="0" applyNumberFormat="1" applyFont="1" applyFill="1" applyBorder="1" applyAlignment="1">
      <alignment vertical="center" shrinkToFit="1"/>
    </xf>
    <xf numFmtId="5" fontId="208" fillId="203" borderId="207" xfId="0" applyNumberFormat="1" applyFont="1" applyFill="1" applyBorder="1" applyAlignment="1">
      <alignment vertical="center" shrinkToFit="1"/>
    </xf>
    <xf numFmtId="178" fontId="209" fillId="204" borderId="208" xfId="0" applyNumberFormat="1" applyFont="1" applyFill="1" applyBorder="1" applyAlignment="1">
      <alignment vertical="center" shrinkToFit="1"/>
    </xf>
    <xf numFmtId="49" fontId="210" fillId="205" borderId="209" xfId="0" applyNumberFormat="1" applyFont="1" applyFill="1" applyBorder="1" applyAlignment="1">
      <alignment vertical="center" shrinkToFit="1"/>
    </xf>
    <xf numFmtId="49" fontId="211" fillId="206" borderId="210" xfId="0" applyNumberFormat="1" applyFont="1" applyFill="1" applyBorder="1" applyAlignment="1">
      <alignment vertical="center" shrinkToFit="1"/>
    </xf>
    <xf numFmtId="0" fontId="212" fillId="207" borderId="211" xfId="0" applyFont="1" applyFill="1" applyBorder="1" applyAlignment="1">
      <alignment vertical="center" shrinkToFit="1"/>
    </xf>
    <xf numFmtId="0" fontId="213" fillId="208" borderId="212" xfId="0" applyFont="1" applyFill="1" applyBorder="1" applyAlignment="1">
      <alignment vertical="center" shrinkToFit="1"/>
    </xf>
    <xf numFmtId="0" fontId="214" fillId="209" borderId="213" xfId="0" applyFont="1" applyFill="1" applyBorder="1" applyAlignment="1">
      <alignment vertical="center" shrinkToFit="1"/>
    </xf>
    <xf numFmtId="0" fontId="215" fillId="210" borderId="214" xfId="0" applyFont="1" applyFill="1" applyBorder="1" applyAlignment="1">
      <alignment vertical="center" shrinkToFit="1"/>
    </xf>
    <xf numFmtId="0" fontId="216" fillId="211" borderId="215" xfId="0" applyFont="1" applyFill="1" applyBorder="1" applyAlignment="1">
      <alignment vertical="center" shrinkToFit="1"/>
    </xf>
    <xf numFmtId="0" fontId="217" fillId="212" borderId="216" xfId="0" applyFont="1" applyFill="1" applyBorder="1" applyAlignment="1">
      <alignment vertical="center" shrinkToFit="1"/>
    </xf>
    <xf numFmtId="0" fontId="218" fillId="213" borderId="217" xfId="0" applyFont="1" applyFill="1" applyBorder="1" applyAlignment="1">
      <alignment vertical="center" shrinkToFit="1"/>
    </xf>
    <xf numFmtId="0" fontId="219" fillId="214" borderId="218" xfId="0" applyFont="1" applyFill="1" applyBorder="1" applyAlignment="1">
      <alignment vertical="center" shrinkToFit="1"/>
    </xf>
    <xf numFmtId="5" fontId="220" fillId="215" borderId="219" xfId="0" applyNumberFormat="1" applyFont="1" applyFill="1" applyBorder="1" applyAlignment="1">
      <alignment vertical="center" shrinkToFit="1"/>
    </xf>
    <xf numFmtId="5" fontId="221" fillId="216" borderId="220" xfId="0" applyNumberFormat="1" applyFont="1" applyFill="1" applyBorder="1" applyAlignment="1">
      <alignment vertical="center" shrinkToFit="1"/>
    </xf>
    <xf numFmtId="5" fontId="222" fillId="217" borderId="221" xfId="0" applyNumberFormat="1" applyFont="1" applyFill="1" applyBorder="1" applyAlignment="1">
      <alignment vertical="center" shrinkToFit="1"/>
    </xf>
    <xf numFmtId="5" fontId="223" fillId="218" borderId="222" xfId="0" applyNumberFormat="1" applyFont="1" applyFill="1" applyBorder="1" applyAlignment="1">
      <alignment vertical="center" shrinkToFit="1"/>
    </xf>
    <xf numFmtId="176" fontId="224" fillId="219" borderId="223" xfId="0" applyNumberFormat="1" applyFont="1" applyFill="1" applyBorder="1" applyAlignment="1">
      <alignment vertical="center"/>
    </xf>
    <xf numFmtId="0" fontId="225" fillId="220" borderId="224" xfId="0" applyFont="1" applyFill="1" applyBorder="1" applyAlignment="1">
      <alignment vertical="center"/>
    </xf>
    <xf numFmtId="5" fontId="226" fillId="221" borderId="225" xfId="0" applyNumberFormat="1" applyFont="1" applyFill="1" applyBorder="1" applyAlignment="1">
      <alignment vertical="center"/>
    </xf>
    <xf numFmtId="5" fontId="227" fillId="222" borderId="226" xfId="0" applyNumberFormat="1" applyFont="1" applyFill="1" applyBorder="1" applyAlignment="1">
      <alignment vertical="center"/>
    </xf>
    <xf numFmtId="49" fontId="228" fillId="223" borderId="227" xfId="0" applyNumberFormat="1" applyFont="1" applyFill="1" applyBorder="1" applyAlignment="1">
      <alignment vertical="center" shrinkToFit="1"/>
    </xf>
    <xf numFmtId="49" fontId="229" fillId="224" borderId="228" xfId="0" applyNumberFormat="1" applyFont="1" applyFill="1" applyBorder="1" applyAlignment="1">
      <alignment vertical="center" shrinkToFit="1"/>
    </xf>
    <xf numFmtId="0" fontId="230" fillId="225" borderId="229" xfId="0" applyFont="1" applyFill="1" applyBorder="1" applyAlignment="1">
      <alignment vertical="center" shrinkToFit="1"/>
    </xf>
    <xf numFmtId="0" fontId="231" fillId="226" borderId="230" xfId="0" applyFont="1" applyFill="1" applyBorder="1" applyAlignment="1">
      <alignment vertical="center" shrinkToFit="1"/>
    </xf>
    <xf numFmtId="0" fontId="232" fillId="227" borderId="231" xfId="0" applyFont="1" applyFill="1" applyBorder="1" applyAlignment="1">
      <alignment vertical="center" shrinkToFit="1"/>
    </xf>
    <xf numFmtId="0" fontId="233" fillId="228" borderId="232" xfId="0" applyFont="1" applyFill="1" applyBorder="1" applyAlignment="1">
      <alignment vertical="center" shrinkToFit="1"/>
    </xf>
    <xf numFmtId="0" fontId="234" fillId="229" borderId="233" xfId="0" applyFont="1" applyFill="1" applyBorder="1" applyAlignment="1">
      <alignment vertical="center" shrinkToFit="1"/>
    </xf>
    <xf numFmtId="0" fontId="235" fillId="230" borderId="234" xfId="0" applyFont="1" applyFill="1" applyBorder="1" applyAlignment="1">
      <alignment vertical="center" shrinkToFit="1"/>
    </xf>
    <xf numFmtId="0" fontId="236" fillId="231" borderId="235" xfId="0" applyFont="1" applyFill="1" applyBorder="1" applyAlignment="1">
      <alignment vertical="center" shrinkToFit="1"/>
    </xf>
    <xf numFmtId="0" fontId="237" fillId="232" borderId="236" xfId="0" applyFont="1" applyFill="1" applyBorder="1" applyAlignment="1">
      <alignment vertical="center" shrinkToFit="1"/>
    </xf>
    <xf numFmtId="5" fontId="238" fillId="233" borderId="237" xfId="0" applyNumberFormat="1" applyFont="1" applyFill="1" applyBorder="1" applyAlignment="1">
      <alignment vertical="center" shrinkToFit="1"/>
    </xf>
    <xf numFmtId="5" fontId="239" fillId="234" borderId="238" xfId="0" applyNumberFormat="1" applyFont="1" applyFill="1" applyBorder="1" applyAlignment="1">
      <alignment vertical="center" shrinkToFit="1"/>
    </xf>
    <xf numFmtId="5" fontId="240" fillId="235" borderId="239" xfId="0" applyNumberFormat="1" applyFont="1" applyFill="1" applyBorder="1" applyAlignment="1">
      <alignment vertical="center" shrinkToFit="1"/>
    </xf>
    <xf numFmtId="5" fontId="241" fillId="236" borderId="240" xfId="0" applyNumberFormat="1" applyFont="1" applyFill="1" applyBorder="1" applyAlignment="1">
      <alignment vertical="center" shrinkToFit="1"/>
    </xf>
    <xf numFmtId="176" fontId="242" fillId="237" borderId="241" xfId="0" applyNumberFormat="1" applyFont="1" applyFill="1" applyBorder="1" applyAlignment="1">
      <alignment vertical="center"/>
    </xf>
    <xf numFmtId="0" fontId="243" fillId="238" borderId="242" xfId="0" applyFont="1" applyFill="1" applyBorder="1" applyAlignment="1">
      <alignment vertical="center"/>
    </xf>
    <xf numFmtId="5" fontId="244" fillId="239" borderId="243" xfId="0" applyNumberFormat="1" applyFont="1" applyFill="1" applyBorder="1" applyAlignment="1">
      <alignment vertical="center"/>
    </xf>
    <xf numFmtId="5" fontId="245" fillId="240" borderId="244" xfId="0" applyNumberFormat="1" applyFont="1" applyFill="1" applyBorder="1" applyAlignment="1">
      <alignment vertical="center"/>
    </xf>
    <xf numFmtId="49" fontId="246" fillId="241" borderId="245" xfId="0" applyNumberFormat="1" applyFont="1" applyFill="1" applyBorder="1" applyAlignment="1">
      <alignment vertical="center" shrinkToFit="1"/>
    </xf>
    <xf numFmtId="49" fontId="247" fillId="242" borderId="246" xfId="0" applyNumberFormat="1" applyFont="1" applyFill="1" applyBorder="1" applyAlignment="1">
      <alignment vertical="center" shrinkToFit="1"/>
    </xf>
    <xf numFmtId="0" fontId="248" fillId="243" borderId="247" xfId="0" applyFont="1" applyFill="1" applyBorder="1" applyAlignment="1">
      <alignment vertical="center" shrinkToFit="1"/>
    </xf>
    <xf numFmtId="0" fontId="249" fillId="244" borderId="248" xfId="0" applyFont="1" applyFill="1" applyBorder="1" applyAlignment="1">
      <alignment vertical="center" shrinkToFit="1"/>
    </xf>
    <xf numFmtId="0" fontId="250" fillId="245" borderId="249" xfId="0" applyFont="1" applyFill="1" applyBorder="1" applyAlignment="1">
      <alignment vertical="center" shrinkToFit="1"/>
    </xf>
    <xf numFmtId="0" fontId="251" fillId="246" borderId="250" xfId="0" applyFont="1" applyFill="1" applyBorder="1" applyAlignment="1">
      <alignment vertical="center" shrinkToFit="1"/>
    </xf>
    <xf numFmtId="0" fontId="252" fillId="247" borderId="251" xfId="0" applyFont="1" applyFill="1" applyBorder="1" applyAlignment="1">
      <alignment vertical="center" shrinkToFit="1"/>
    </xf>
    <xf numFmtId="0" fontId="253" fillId="248" borderId="252" xfId="0" applyFont="1" applyFill="1" applyBorder="1" applyAlignment="1">
      <alignment vertical="center" shrinkToFit="1"/>
    </xf>
    <xf numFmtId="0" fontId="254" fillId="249" borderId="253" xfId="0" applyFont="1" applyFill="1" applyBorder="1" applyAlignment="1">
      <alignment vertical="center" shrinkToFit="1"/>
    </xf>
    <xf numFmtId="0" fontId="255" fillId="250" borderId="254" xfId="0" applyFont="1" applyFill="1" applyBorder="1" applyAlignment="1">
      <alignment vertical="center" shrinkToFit="1"/>
    </xf>
    <xf numFmtId="5" fontId="256" fillId="251" borderId="255" xfId="0" applyNumberFormat="1" applyFont="1" applyFill="1" applyBorder="1" applyAlignment="1">
      <alignment vertical="center" shrinkToFit="1"/>
    </xf>
    <xf numFmtId="5" fontId="257" fillId="252" borderId="256" xfId="0" applyNumberFormat="1" applyFont="1" applyFill="1" applyBorder="1" applyAlignment="1">
      <alignment vertical="center" shrinkToFit="1"/>
    </xf>
    <xf numFmtId="5" fontId="258" fillId="253" borderId="257" xfId="0" applyNumberFormat="1" applyFont="1" applyFill="1" applyBorder="1" applyAlignment="1">
      <alignment vertical="center" shrinkToFit="1"/>
    </xf>
    <xf numFmtId="5" fontId="259" fillId="254" borderId="258" xfId="0" applyNumberFormat="1" applyFont="1" applyFill="1" applyBorder="1" applyAlignment="1">
      <alignment vertical="center" shrinkToFit="1"/>
    </xf>
    <xf numFmtId="176" fontId="260" fillId="255" borderId="259" xfId="0" applyNumberFormat="1" applyFont="1" applyFill="1" applyBorder="1" applyAlignment="1">
      <alignment vertical="center"/>
    </xf>
    <xf numFmtId="0" fontId="261" fillId="256" borderId="260" xfId="0" applyFont="1" applyFill="1" applyBorder="1" applyAlignment="1">
      <alignment vertical="center"/>
    </xf>
    <xf numFmtId="5" fontId="262" fillId="257" borderId="261" xfId="0" applyNumberFormat="1" applyFont="1" applyFill="1" applyBorder="1" applyAlignment="1">
      <alignment vertical="center"/>
    </xf>
    <xf numFmtId="5" fontId="263" fillId="258" borderId="262" xfId="0" applyNumberFormat="1" applyFont="1" applyFill="1" applyBorder="1" applyAlignment="1">
      <alignment vertical="center"/>
    </xf>
    <xf numFmtId="5" fontId="264" fillId="259" borderId="263" xfId="0" applyNumberFormat="1" applyFont="1" applyFill="1" applyBorder="1" applyAlignment="1">
      <alignment vertical="center" shrinkToFit="1"/>
    </xf>
    <xf numFmtId="5" fontId="265" fillId="260" borderId="264" xfId="0" applyNumberFormat="1" applyFont="1" applyFill="1" applyBorder="1" applyAlignment="1">
      <alignment vertical="center" shrinkToFit="1"/>
    </xf>
    <xf numFmtId="5" fontId="266" fillId="261" borderId="265" xfId="0" applyNumberFormat="1" applyFont="1" applyFill="1" applyBorder="1" applyAlignment="1">
      <alignment vertical="center" shrinkToFit="1"/>
    </xf>
    <xf numFmtId="5" fontId="267" fillId="262" borderId="266" xfId="0" applyNumberFormat="1" applyFont="1" applyFill="1" applyBorder="1" applyAlignment="1">
      <alignment vertical="center" shrinkToFit="1"/>
    </xf>
    <xf numFmtId="0" fontId="268" fillId="263" borderId="267" xfId="0" applyFont="1" applyFill="1" applyBorder="1" applyAlignment="1">
      <alignment vertical="center" shrinkToFit="1"/>
    </xf>
    <xf numFmtId="5" fontId="269" fillId="264" borderId="268" xfId="0" applyNumberFormat="1" applyFont="1" applyFill="1" applyBorder="1" applyAlignment="1">
      <alignment vertical="center" shrinkToFit="1"/>
    </xf>
    <xf numFmtId="5" fontId="270" fillId="265" borderId="269" xfId="0" applyNumberFormat="1" applyFont="1" applyFill="1" applyBorder="1" applyAlignment="1">
      <alignment vertical="center" shrinkToFit="1"/>
    </xf>
    <xf numFmtId="176" fontId="271" fillId="266" borderId="270" xfId="0" applyNumberFormat="1" applyFont="1" applyFill="1" applyBorder="1" applyAlignment="1">
      <alignment vertical="center"/>
    </xf>
    <xf numFmtId="5" fontId="272" fillId="267" borderId="271" xfId="0" applyNumberFormat="1" applyFont="1" applyFill="1" applyBorder="1" applyAlignment="1">
      <alignment vertical="center" shrinkToFit="1"/>
    </xf>
    <xf numFmtId="5" fontId="273" fillId="268" borderId="272" xfId="0" applyNumberFormat="1" applyFont="1" applyFill="1" applyBorder="1" applyAlignment="1">
      <alignment vertical="center" shrinkToFit="1"/>
    </xf>
    <xf numFmtId="5" fontId="274" fillId="269" borderId="273" xfId="0" applyNumberFormat="1" applyFont="1" applyFill="1" applyBorder="1" applyAlignment="1">
      <alignment vertical="center" shrinkToFit="1"/>
    </xf>
    <xf numFmtId="5" fontId="275" fillId="270" borderId="274" xfId="0" applyNumberFormat="1" applyFont="1" applyFill="1" applyBorder="1" applyAlignment="1">
      <alignment vertical="center" shrinkToFit="1"/>
    </xf>
    <xf numFmtId="5" fontId="276" fillId="271" borderId="275" xfId="0" applyNumberFormat="1" applyFont="1" applyFill="1" applyBorder="1" applyAlignment="1">
      <alignment vertical="center" shrinkToFit="1"/>
    </xf>
    <xf numFmtId="178" fontId="277" fillId="272" borderId="276" xfId="0" applyNumberFormat="1" applyFont="1" applyFill="1" applyBorder="1" applyAlignment="1">
      <alignment vertical="center" shrinkToFit="1"/>
    </xf>
    <xf numFmtId="5" fontId="278" fillId="273" borderId="277" xfId="0" applyNumberFormat="1" applyFont="1" applyFill="1" applyBorder="1" applyAlignment="1">
      <alignment vertical="center" shrinkToFit="1"/>
    </xf>
    <xf numFmtId="178" fontId="279" fillId="274" borderId="278" xfId="0" applyNumberFormat="1" applyFont="1" applyFill="1" applyBorder="1" applyAlignment="1">
      <alignment vertical="center" shrinkToFit="1"/>
    </xf>
    <xf numFmtId="49" fontId="280" fillId="275" borderId="279" xfId="0" applyNumberFormat="1" applyFont="1" applyFill="1" applyBorder="1" applyAlignment="1">
      <alignment vertical="center" shrinkToFit="1"/>
    </xf>
    <xf numFmtId="49" fontId="281" fillId="276" borderId="280" xfId="0" applyNumberFormat="1" applyFont="1" applyFill="1" applyBorder="1" applyAlignment="1">
      <alignment vertical="center" shrinkToFit="1"/>
    </xf>
    <xf numFmtId="0" fontId="282" fillId="277" borderId="281" xfId="0" applyFont="1" applyFill="1" applyBorder="1" applyAlignment="1">
      <alignment vertical="center" shrinkToFit="1"/>
    </xf>
    <xf numFmtId="0" fontId="283" fillId="278" borderId="282" xfId="0" applyFont="1" applyFill="1" applyBorder="1" applyAlignment="1">
      <alignment vertical="center" shrinkToFit="1"/>
    </xf>
    <xf numFmtId="0" fontId="284" fillId="279" borderId="283" xfId="0" applyFont="1" applyFill="1" applyBorder="1" applyAlignment="1">
      <alignment vertical="center" shrinkToFit="1"/>
    </xf>
    <xf numFmtId="0" fontId="285" fillId="280" borderId="284" xfId="0" applyFont="1" applyFill="1" applyBorder="1" applyAlignment="1">
      <alignment vertical="center" shrinkToFit="1"/>
    </xf>
    <xf numFmtId="0" fontId="286" fillId="281" borderId="285" xfId="0" applyFont="1" applyFill="1" applyBorder="1" applyAlignment="1">
      <alignment vertical="center" shrinkToFit="1"/>
    </xf>
    <xf numFmtId="0" fontId="287" fillId="282" borderId="286" xfId="0" applyFont="1" applyFill="1" applyBorder="1" applyAlignment="1">
      <alignment vertical="center" shrinkToFit="1"/>
    </xf>
    <xf numFmtId="0" fontId="288" fillId="283" borderId="287" xfId="0" applyFont="1" applyFill="1" applyBorder="1" applyAlignment="1">
      <alignment vertical="center" shrinkToFit="1"/>
    </xf>
    <xf numFmtId="0" fontId="289" fillId="284" borderId="288" xfId="0" applyFont="1" applyFill="1" applyBorder="1" applyAlignment="1">
      <alignment vertical="center" shrinkToFit="1"/>
    </xf>
    <xf numFmtId="5" fontId="290" fillId="285" borderId="289" xfId="0" applyNumberFormat="1" applyFont="1" applyFill="1" applyBorder="1" applyAlignment="1">
      <alignment vertical="center" shrinkToFit="1"/>
    </xf>
    <xf numFmtId="5" fontId="291" fillId="286" borderId="290" xfId="0" applyNumberFormat="1" applyFont="1" applyFill="1" applyBorder="1" applyAlignment="1">
      <alignment vertical="center" shrinkToFit="1"/>
    </xf>
    <xf numFmtId="5" fontId="292" fillId="287" borderId="291" xfId="0" applyNumberFormat="1" applyFont="1" applyFill="1" applyBorder="1" applyAlignment="1">
      <alignment vertical="center" shrinkToFit="1"/>
    </xf>
    <xf numFmtId="5" fontId="293" fillId="288" borderId="292" xfId="0" applyNumberFormat="1" applyFont="1" applyFill="1" applyBorder="1" applyAlignment="1">
      <alignment vertical="center" shrinkToFit="1"/>
    </xf>
    <xf numFmtId="176" fontId="294" fillId="289" borderId="293" xfId="0" applyNumberFormat="1" applyFont="1" applyFill="1" applyBorder="1" applyAlignment="1">
      <alignment vertical="center"/>
    </xf>
    <xf numFmtId="0" fontId="295" fillId="290" borderId="294" xfId="0" applyFont="1" applyFill="1" applyBorder="1" applyAlignment="1">
      <alignment vertical="center"/>
    </xf>
    <xf numFmtId="5" fontId="296" fillId="291" borderId="295" xfId="0" applyNumberFormat="1" applyFont="1" applyFill="1" applyBorder="1" applyAlignment="1">
      <alignment vertical="center"/>
    </xf>
    <xf numFmtId="5" fontId="297" fillId="292" borderId="296" xfId="0" applyNumberFormat="1" applyFont="1" applyFill="1" applyBorder="1" applyAlignment="1">
      <alignment vertical="center"/>
    </xf>
    <xf numFmtId="49" fontId="298" fillId="293" borderId="297" xfId="0" applyNumberFormat="1" applyFont="1" applyFill="1" applyBorder="1" applyAlignment="1">
      <alignment vertical="center" shrinkToFit="1"/>
    </xf>
    <xf numFmtId="49" fontId="299" fillId="294" borderId="298" xfId="0" applyNumberFormat="1" applyFont="1" applyFill="1" applyBorder="1" applyAlignment="1">
      <alignment vertical="center" shrinkToFit="1"/>
    </xf>
    <xf numFmtId="0" fontId="300" fillId="295" borderId="299" xfId="0" applyFont="1" applyFill="1" applyBorder="1" applyAlignment="1">
      <alignment vertical="center" shrinkToFit="1"/>
    </xf>
    <xf numFmtId="0" fontId="301" fillId="296" borderId="300" xfId="0" applyFont="1" applyFill="1" applyBorder="1" applyAlignment="1">
      <alignment vertical="center" shrinkToFit="1"/>
    </xf>
    <xf numFmtId="0" fontId="302" fillId="297" borderId="301" xfId="0" applyFont="1" applyFill="1" applyBorder="1" applyAlignment="1">
      <alignment vertical="center" shrinkToFit="1"/>
    </xf>
    <xf numFmtId="0" fontId="303" fillId="298" borderId="302" xfId="0" applyFont="1" applyFill="1" applyBorder="1" applyAlignment="1">
      <alignment vertical="center" shrinkToFit="1"/>
    </xf>
    <xf numFmtId="0" fontId="304" fillId="299" borderId="303" xfId="0" applyFont="1" applyFill="1" applyBorder="1" applyAlignment="1">
      <alignment vertical="center" shrinkToFit="1"/>
    </xf>
    <xf numFmtId="0" fontId="305" fillId="300" borderId="304" xfId="0" applyFont="1" applyFill="1" applyBorder="1" applyAlignment="1">
      <alignment vertical="center" shrinkToFit="1"/>
    </xf>
    <xf numFmtId="0" fontId="306" fillId="301" borderId="305" xfId="0" applyFont="1" applyFill="1" applyBorder="1" applyAlignment="1">
      <alignment vertical="center" shrinkToFit="1"/>
    </xf>
    <xf numFmtId="0" fontId="307" fillId="302" borderId="306" xfId="0" applyFont="1" applyFill="1" applyBorder="1" applyAlignment="1">
      <alignment vertical="center" shrinkToFit="1"/>
    </xf>
    <xf numFmtId="5" fontId="308" fillId="303" borderId="307" xfId="0" applyNumberFormat="1" applyFont="1" applyFill="1" applyBorder="1" applyAlignment="1">
      <alignment vertical="center" shrinkToFit="1"/>
    </xf>
    <xf numFmtId="5" fontId="309" fillId="304" borderId="308" xfId="0" applyNumberFormat="1" applyFont="1" applyFill="1" applyBorder="1" applyAlignment="1">
      <alignment vertical="center" shrinkToFit="1"/>
    </xf>
    <xf numFmtId="5" fontId="310" fillId="305" borderId="309" xfId="0" applyNumberFormat="1" applyFont="1" applyFill="1" applyBorder="1" applyAlignment="1">
      <alignment vertical="center" shrinkToFit="1"/>
    </xf>
    <xf numFmtId="5" fontId="311" fillId="306" borderId="310" xfId="0" applyNumberFormat="1" applyFont="1" applyFill="1" applyBorder="1" applyAlignment="1">
      <alignment vertical="center" shrinkToFit="1"/>
    </xf>
    <xf numFmtId="176" fontId="312" fillId="307" borderId="311" xfId="0" applyNumberFormat="1" applyFont="1" applyFill="1" applyBorder="1" applyAlignment="1">
      <alignment vertical="center"/>
    </xf>
    <xf numFmtId="0" fontId="313" fillId="308" borderId="312" xfId="0" applyFont="1" applyFill="1" applyBorder="1" applyAlignment="1">
      <alignment vertical="center"/>
    </xf>
    <xf numFmtId="5" fontId="314" fillId="309" borderId="313" xfId="0" applyNumberFormat="1" applyFont="1" applyFill="1" applyBorder="1" applyAlignment="1">
      <alignment vertical="center"/>
    </xf>
    <xf numFmtId="5" fontId="315" fillId="310" borderId="314" xfId="0" applyNumberFormat="1" applyFont="1" applyFill="1" applyBorder="1" applyAlignment="1">
      <alignment vertical="center"/>
    </xf>
    <xf numFmtId="49" fontId="316" fillId="311" borderId="315" xfId="0" applyNumberFormat="1" applyFont="1" applyFill="1" applyBorder="1" applyAlignment="1">
      <alignment vertical="center" shrinkToFit="1"/>
    </xf>
    <xf numFmtId="49" fontId="317" fillId="312" borderId="316" xfId="0" applyNumberFormat="1" applyFont="1" applyFill="1" applyBorder="1" applyAlignment="1">
      <alignment vertical="center" shrinkToFit="1"/>
    </xf>
    <xf numFmtId="0" fontId="318" fillId="313" borderId="317" xfId="0" applyFont="1" applyFill="1" applyBorder="1" applyAlignment="1">
      <alignment vertical="center" shrinkToFit="1"/>
    </xf>
    <xf numFmtId="0" fontId="319" fillId="314" borderId="318" xfId="0" applyFont="1" applyFill="1" applyBorder="1" applyAlignment="1">
      <alignment vertical="center" shrinkToFit="1"/>
    </xf>
    <xf numFmtId="0" fontId="320" fillId="315" borderId="319" xfId="0" applyFont="1" applyFill="1" applyBorder="1" applyAlignment="1">
      <alignment vertical="center" shrinkToFit="1"/>
    </xf>
    <xf numFmtId="0" fontId="321" fillId="316" borderId="320" xfId="0" applyFont="1" applyFill="1" applyBorder="1" applyAlignment="1">
      <alignment vertical="center" shrinkToFit="1"/>
    </xf>
    <xf numFmtId="0" fontId="322" fillId="317" borderId="321" xfId="0" applyFont="1" applyFill="1" applyBorder="1" applyAlignment="1">
      <alignment vertical="center" shrinkToFit="1"/>
    </xf>
    <xf numFmtId="0" fontId="323" fillId="318" borderId="322" xfId="0" applyFont="1" applyFill="1" applyBorder="1" applyAlignment="1">
      <alignment vertical="center" shrinkToFit="1"/>
    </xf>
    <xf numFmtId="0" fontId="324" fillId="319" borderId="323" xfId="0" applyFont="1" applyFill="1" applyBorder="1" applyAlignment="1">
      <alignment vertical="center" shrinkToFit="1"/>
    </xf>
    <xf numFmtId="0" fontId="325" fillId="320" borderId="324" xfId="0" applyFont="1" applyFill="1" applyBorder="1" applyAlignment="1">
      <alignment vertical="center" shrinkToFit="1"/>
    </xf>
    <xf numFmtId="5" fontId="326" fillId="321" borderId="325" xfId="0" applyNumberFormat="1" applyFont="1" applyFill="1" applyBorder="1" applyAlignment="1">
      <alignment vertical="center" shrinkToFit="1"/>
    </xf>
    <xf numFmtId="5" fontId="327" fillId="322" borderId="326" xfId="0" applyNumberFormat="1" applyFont="1" applyFill="1" applyBorder="1" applyAlignment="1">
      <alignment vertical="center" shrinkToFit="1"/>
    </xf>
    <xf numFmtId="5" fontId="328" fillId="323" borderId="327" xfId="0" applyNumberFormat="1" applyFont="1" applyFill="1" applyBorder="1" applyAlignment="1">
      <alignment vertical="center" shrinkToFit="1"/>
    </xf>
    <xf numFmtId="5" fontId="329" fillId="324" borderId="328" xfId="0" applyNumberFormat="1" applyFont="1" applyFill="1" applyBorder="1" applyAlignment="1">
      <alignment vertical="center" shrinkToFit="1"/>
    </xf>
    <xf numFmtId="176" fontId="330" fillId="325" borderId="329" xfId="0" applyNumberFormat="1" applyFont="1" applyFill="1" applyBorder="1" applyAlignment="1">
      <alignment vertical="center"/>
    </xf>
    <xf numFmtId="0" fontId="331" fillId="326" borderId="330" xfId="0" applyFont="1" applyFill="1" applyBorder="1" applyAlignment="1">
      <alignment vertical="center"/>
    </xf>
    <xf numFmtId="5" fontId="332" fillId="327" borderId="331" xfId="0" applyNumberFormat="1" applyFont="1" applyFill="1" applyBorder="1" applyAlignment="1">
      <alignment vertical="center"/>
    </xf>
    <xf numFmtId="5" fontId="333" fillId="328" borderId="332" xfId="0" applyNumberFormat="1" applyFont="1" applyFill="1" applyBorder="1" applyAlignment="1">
      <alignment vertical="center"/>
    </xf>
    <xf numFmtId="5" fontId="334" fillId="329" borderId="333" xfId="0" applyNumberFormat="1" applyFont="1" applyFill="1" applyBorder="1" applyAlignment="1">
      <alignment vertical="center" shrinkToFit="1"/>
    </xf>
    <xf numFmtId="5" fontId="335" fillId="330" borderId="334" xfId="0" applyNumberFormat="1" applyFont="1" applyFill="1" applyBorder="1" applyAlignment="1">
      <alignment vertical="center" shrinkToFit="1"/>
    </xf>
    <xf numFmtId="5" fontId="336" fillId="331" borderId="335" xfId="0" applyNumberFormat="1" applyFont="1" applyFill="1" applyBorder="1" applyAlignment="1">
      <alignment vertical="center" shrinkToFit="1"/>
    </xf>
    <xf numFmtId="5" fontId="337" fillId="332" borderId="336" xfId="0" applyNumberFormat="1" applyFont="1" applyFill="1" applyBorder="1" applyAlignment="1">
      <alignment vertical="center" shrinkToFit="1"/>
    </xf>
    <xf numFmtId="0" fontId="338" fillId="333" borderId="337" xfId="0" applyFont="1" applyFill="1" applyBorder="1" applyAlignment="1">
      <alignment vertical="center" shrinkToFit="1"/>
    </xf>
    <xf numFmtId="5" fontId="339" fillId="334" borderId="338" xfId="0" applyNumberFormat="1" applyFont="1" applyFill="1" applyBorder="1" applyAlignment="1">
      <alignment vertical="center" shrinkToFit="1"/>
    </xf>
    <xf numFmtId="5" fontId="340" fillId="335" borderId="339" xfId="0" applyNumberFormat="1" applyFont="1" applyFill="1" applyBorder="1" applyAlignment="1">
      <alignment vertical="center" shrinkToFit="1"/>
    </xf>
    <xf numFmtId="176" fontId="341" fillId="336" borderId="340" xfId="0" applyNumberFormat="1" applyFont="1" applyFill="1" applyBorder="1" applyAlignment="1">
      <alignment vertical="center"/>
    </xf>
    <xf numFmtId="5" fontId="342" fillId="337" borderId="341" xfId="0" applyNumberFormat="1" applyFont="1" applyFill="1" applyBorder="1" applyAlignment="1">
      <alignment vertical="center" shrinkToFit="1"/>
    </xf>
    <xf numFmtId="5" fontId="343" fillId="338" borderId="342" xfId="0" applyNumberFormat="1" applyFont="1" applyFill="1" applyBorder="1" applyAlignment="1">
      <alignment vertical="center" shrinkToFit="1"/>
    </xf>
    <xf numFmtId="5" fontId="344" fillId="339" borderId="343" xfId="0" applyNumberFormat="1" applyFont="1" applyFill="1" applyBorder="1" applyAlignment="1">
      <alignment vertical="center" shrinkToFit="1"/>
    </xf>
    <xf numFmtId="5" fontId="345" fillId="340" borderId="344" xfId="0" applyNumberFormat="1" applyFont="1" applyFill="1" applyBorder="1" applyAlignment="1">
      <alignment vertical="center" shrinkToFit="1"/>
    </xf>
    <xf numFmtId="5" fontId="346" fillId="341" borderId="345" xfId="0" applyNumberFormat="1" applyFont="1" applyFill="1" applyBorder="1" applyAlignment="1">
      <alignment vertical="center" shrinkToFit="1"/>
    </xf>
    <xf numFmtId="178" fontId="347" fillId="342" borderId="346" xfId="0" applyNumberFormat="1" applyFont="1" applyFill="1" applyBorder="1" applyAlignment="1">
      <alignment vertical="center" shrinkToFit="1"/>
    </xf>
    <xf numFmtId="5" fontId="348" fillId="343" borderId="347" xfId="0" applyNumberFormat="1" applyFont="1" applyFill="1" applyBorder="1" applyAlignment="1">
      <alignment vertical="center" shrinkToFit="1"/>
    </xf>
    <xf numFmtId="178" fontId="349" fillId="344" borderId="348" xfId="0" applyNumberFormat="1" applyFont="1" applyFill="1" applyBorder="1" applyAlignment="1">
      <alignment vertical="center" shrinkToFit="1"/>
    </xf>
    <xf numFmtId="49" fontId="350" fillId="345" borderId="349" xfId="0" applyNumberFormat="1" applyFont="1" applyFill="1" applyBorder="1" applyAlignment="1">
      <alignment vertical="center" shrinkToFit="1"/>
    </xf>
    <xf numFmtId="49" fontId="351" fillId="346" borderId="350" xfId="0" applyNumberFormat="1" applyFont="1" applyFill="1" applyBorder="1" applyAlignment="1">
      <alignment vertical="center" shrinkToFit="1"/>
    </xf>
    <xf numFmtId="0" fontId="352" fillId="347" borderId="351" xfId="0" applyFont="1" applyFill="1" applyBorder="1" applyAlignment="1">
      <alignment vertical="center" shrinkToFit="1"/>
    </xf>
    <xf numFmtId="0" fontId="353" fillId="348" borderId="352" xfId="0" applyFont="1" applyFill="1" applyBorder="1" applyAlignment="1">
      <alignment vertical="center" shrinkToFit="1"/>
    </xf>
    <xf numFmtId="0" fontId="354" fillId="349" borderId="353" xfId="0" applyFont="1" applyFill="1" applyBorder="1" applyAlignment="1">
      <alignment vertical="center" shrinkToFit="1"/>
    </xf>
    <xf numFmtId="0" fontId="355" fillId="350" borderId="354" xfId="0" applyFont="1" applyFill="1" applyBorder="1" applyAlignment="1">
      <alignment vertical="center" shrinkToFit="1"/>
    </xf>
    <xf numFmtId="0" fontId="356" fillId="351" borderId="355" xfId="0" applyFont="1" applyFill="1" applyBorder="1" applyAlignment="1">
      <alignment vertical="center" shrinkToFit="1"/>
    </xf>
    <xf numFmtId="0" fontId="357" fillId="352" borderId="356" xfId="0" applyFont="1" applyFill="1" applyBorder="1" applyAlignment="1">
      <alignment vertical="center" shrinkToFit="1"/>
    </xf>
    <xf numFmtId="0" fontId="358" fillId="353" borderId="357" xfId="0" applyFont="1" applyFill="1" applyBorder="1" applyAlignment="1">
      <alignment vertical="center" shrinkToFit="1"/>
    </xf>
    <xf numFmtId="0" fontId="359" fillId="354" borderId="358" xfId="0" applyFont="1" applyFill="1" applyBorder="1" applyAlignment="1">
      <alignment vertical="center" shrinkToFit="1"/>
    </xf>
    <xf numFmtId="5" fontId="360" fillId="355" borderId="359" xfId="0" applyNumberFormat="1" applyFont="1" applyFill="1" applyBorder="1" applyAlignment="1">
      <alignment vertical="center" shrinkToFit="1"/>
    </xf>
    <xf numFmtId="5" fontId="361" fillId="356" borderId="360" xfId="0" applyNumberFormat="1" applyFont="1" applyFill="1" applyBorder="1" applyAlignment="1">
      <alignment vertical="center" shrinkToFit="1"/>
    </xf>
    <xf numFmtId="5" fontId="362" fillId="357" borderId="361" xfId="0" applyNumberFormat="1" applyFont="1" applyFill="1" applyBorder="1" applyAlignment="1">
      <alignment vertical="center" shrinkToFit="1"/>
    </xf>
    <xf numFmtId="5" fontId="363" fillId="358" borderId="362" xfId="0" applyNumberFormat="1" applyFont="1" applyFill="1" applyBorder="1" applyAlignment="1">
      <alignment vertical="center" shrinkToFit="1"/>
    </xf>
    <xf numFmtId="176" fontId="364" fillId="359" borderId="363" xfId="0" applyNumberFormat="1" applyFont="1" applyFill="1" applyBorder="1" applyAlignment="1">
      <alignment vertical="center"/>
    </xf>
    <xf numFmtId="0" fontId="365" fillId="360" borderId="364" xfId="0" applyFont="1" applyFill="1" applyBorder="1" applyAlignment="1">
      <alignment vertical="center"/>
    </xf>
    <xf numFmtId="5" fontId="366" fillId="361" borderId="365" xfId="0" applyNumberFormat="1" applyFont="1" applyFill="1" applyBorder="1" applyAlignment="1">
      <alignment vertical="center"/>
    </xf>
    <xf numFmtId="5" fontId="367" fillId="362" borderId="366" xfId="0" applyNumberFormat="1" applyFont="1" applyFill="1" applyBorder="1" applyAlignment="1">
      <alignment vertical="center"/>
    </xf>
    <xf numFmtId="49" fontId="368" fillId="363" borderId="367" xfId="0" applyNumberFormat="1" applyFont="1" applyFill="1" applyBorder="1" applyAlignment="1">
      <alignment vertical="center" shrinkToFit="1"/>
    </xf>
    <xf numFmtId="49" fontId="369" fillId="364" borderId="368" xfId="0" applyNumberFormat="1" applyFont="1" applyFill="1" applyBorder="1" applyAlignment="1">
      <alignment vertical="center" shrinkToFit="1"/>
    </xf>
    <xf numFmtId="0" fontId="370" fillId="365" borderId="369" xfId="0" applyFont="1" applyFill="1" applyBorder="1" applyAlignment="1">
      <alignment vertical="center" shrinkToFit="1"/>
    </xf>
    <xf numFmtId="0" fontId="371" fillId="366" borderId="370" xfId="0" applyFont="1" applyFill="1" applyBorder="1" applyAlignment="1">
      <alignment vertical="center" shrinkToFit="1"/>
    </xf>
    <xf numFmtId="0" fontId="372" fillId="367" borderId="371" xfId="0" applyFont="1" applyFill="1" applyBorder="1" applyAlignment="1">
      <alignment vertical="center" shrinkToFit="1"/>
    </xf>
    <xf numFmtId="0" fontId="373" fillId="368" borderId="372" xfId="0" applyFont="1" applyFill="1" applyBorder="1" applyAlignment="1">
      <alignment vertical="center" shrinkToFit="1"/>
    </xf>
    <xf numFmtId="0" fontId="374" fillId="369" borderId="373" xfId="0" applyFont="1" applyFill="1" applyBorder="1" applyAlignment="1">
      <alignment vertical="center" shrinkToFit="1"/>
    </xf>
    <xf numFmtId="0" fontId="375" fillId="370" borderId="374" xfId="0" applyFont="1" applyFill="1" applyBorder="1" applyAlignment="1">
      <alignment vertical="center" shrinkToFit="1"/>
    </xf>
    <xf numFmtId="0" fontId="376" fillId="371" borderId="375" xfId="0" applyFont="1" applyFill="1" applyBorder="1" applyAlignment="1">
      <alignment vertical="center" shrinkToFit="1"/>
    </xf>
    <xf numFmtId="0" fontId="377" fillId="372" borderId="376" xfId="0" applyFont="1" applyFill="1" applyBorder="1" applyAlignment="1">
      <alignment vertical="center" shrinkToFit="1"/>
    </xf>
    <xf numFmtId="5" fontId="378" fillId="373" borderId="377" xfId="0" applyNumberFormat="1" applyFont="1" applyFill="1" applyBorder="1" applyAlignment="1">
      <alignment vertical="center" shrinkToFit="1"/>
    </xf>
    <xf numFmtId="5" fontId="379" fillId="374" borderId="378" xfId="0" applyNumberFormat="1" applyFont="1" applyFill="1" applyBorder="1" applyAlignment="1">
      <alignment vertical="center" shrinkToFit="1"/>
    </xf>
    <xf numFmtId="5" fontId="380" fillId="375" borderId="379" xfId="0" applyNumberFormat="1" applyFont="1" applyFill="1" applyBorder="1" applyAlignment="1">
      <alignment vertical="center" shrinkToFit="1"/>
    </xf>
    <xf numFmtId="5" fontId="381" fillId="376" borderId="380" xfId="0" applyNumberFormat="1" applyFont="1" applyFill="1" applyBorder="1" applyAlignment="1">
      <alignment vertical="center" shrinkToFit="1"/>
    </xf>
    <xf numFmtId="176" fontId="382" fillId="377" borderId="381" xfId="0" applyNumberFormat="1" applyFont="1" applyFill="1" applyBorder="1" applyAlignment="1">
      <alignment vertical="center"/>
    </xf>
    <xf numFmtId="0" fontId="383" fillId="378" borderId="382" xfId="0" applyFont="1" applyFill="1" applyBorder="1" applyAlignment="1">
      <alignment vertical="center"/>
    </xf>
    <xf numFmtId="5" fontId="384" fillId="379" borderId="383" xfId="0" applyNumberFormat="1" applyFont="1" applyFill="1" applyBorder="1" applyAlignment="1">
      <alignment vertical="center"/>
    </xf>
    <xf numFmtId="5" fontId="385" fillId="380" borderId="384" xfId="0" applyNumberFormat="1" applyFont="1" applyFill="1" applyBorder="1" applyAlignment="1">
      <alignment vertical="center"/>
    </xf>
    <xf numFmtId="49" fontId="386" fillId="381" borderId="385" xfId="0" applyNumberFormat="1" applyFont="1" applyFill="1" applyBorder="1" applyAlignment="1">
      <alignment vertical="center" shrinkToFit="1"/>
    </xf>
    <xf numFmtId="49" fontId="387" fillId="382" borderId="386" xfId="0" applyNumberFormat="1" applyFont="1" applyFill="1" applyBorder="1" applyAlignment="1">
      <alignment vertical="center" shrinkToFit="1"/>
    </xf>
    <xf numFmtId="0" fontId="388" fillId="383" borderId="387" xfId="0" applyFont="1" applyFill="1" applyBorder="1" applyAlignment="1">
      <alignment vertical="center" shrinkToFit="1"/>
    </xf>
    <xf numFmtId="0" fontId="389" fillId="384" borderId="388" xfId="0" applyFont="1" applyFill="1" applyBorder="1" applyAlignment="1">
      <alignment vertical="center" shrinkToFit="1"/>
    </xf>
    <xf numFmtId="0" fontId="390" fillId="385" borderId="389" xfId="0" applyFont="1" applyFill="1" applyBorder="1" applyAlignment="1">
      <alignment vertical="center" shrinkToFit="1"/>
    </xf>
    <xf numFmtId="0" fontId="391" fillId="386" borderId="390" xfId="0" applyFont="1" applyFill="1" applyBorder="1" applyAlignment="1">
      <alignment vertical="center" shrinkToFit="1"/>
    </xf>
    <xf numFmtId="0" fontId="392" fillId="387" borderId="391" xfId="0" applyFont="1" applyFill="1" applyBorder="1" applyAlignment="1">
      <alignment vertical="center" shrinkToFit="1"/>
    </xf>
    <xf numFmtId="0" fontId="393" fillId="388" borderId="392" xfId="0" applyFont="1" applyFill="1" applyBorder="1" applyAlignment="1">
      <alignment vertical="center" shrinkToFit="1"/>
    </xf>
    <xf numFmtId="0" fontId="394" fillId="389" borderId="393" xfId="0" applyFont="1" applyFill="1" applyBorder="1" applyAlignment="1">
      <alignment vertical="center" shrinkToFit="1"/>
    </xf>
    <xf numFmtId="0" fontId="395" fillId="390" borderId="394" xfId="0" applyFont="1" applyFill="1" applyBorder="1" applyAlignment="1">
      <alignment vertical="center" shrinkToFit="1"/>
    </xf>
    <xf numFmtId="5" fontId="396" fillId="391" borderId="395" xfId="0" applyNumberFormat="1" applyFont="1" applyFill="1" applyBorder="1" applyAlignment="1">
      <alignment vertical="center" shrinkToFit="1"/>
    </xf>
    <xf numFmtId="5" fontId="397" fillId="392" borderId="396" xfId="0" applyNumberFormat="1" applyFont="1" applyFill="1" applyBorder="1" applyAlignment="1">
      <alignment vertical="center" shrinkToFit="1"/>
    </xf>
    <xf numFmtId="5" fontId="398" fillId="393" borderId="397" xfId="0" applyNumberFormat="1" applyFont="1" applyFill="1" applyBorder="1" applyAlignment="1">
      <alignment vertical="center" shrinkToFit="1"/>
    </xf>
    <xf numFmtId="5" fontId="399" fillId="394" borderId="398" xfId="0" applyNumberFormat="1" applyFont="1" applyFill="1" applyBorder="1" applyAlignment="1">
      <alignment vertical="center" shrinkToFit="1"/>
    </xf>
    <xf numFmtId="176" fontId="400" fillId="395" borderId="399" xfId="0" applyNumberFormat="1" applyFont="1" applyFill="1" applyBorder="1" applyAlignment="1">
      <alignment vertical="center"/>
    </xf>
    <xf numFmtId="0" fontId="401" fillId="396" borderId="400" xfId="0" applyFont="1" applyFill="1" applyBorder="1" applyAlignment="1">
      <alignment vertical="center"/>
    </xf>
    <xf numFmtId="5" fontId="402" fillId="397" borderId="401" xfId="0" applyNumberFormat="1" applyFont="1" applyFill="1" applyBorder="1" applyAlignment="1">
      <alignment vertical="center"/>
    </xf>
    <xf numFmtId="5" fontId="403" fillId="398" borderId="402" xfId="0" applyNumberFormat="1" applyFont="1" applyFill="1" applyBorder="1" applyAlignment="1">
      <alignment vertical="center"/>
    </xf>
    <xf numFmtId="5" fontId="404" fillId="399" borderId="403" xfId="0" applyNumberFormat="1" applyFont="1" applyFill="1" applyBorder="1" applyAlignment="1">
      <alignment vertical="center" shrinkToFit="1"/>
    </xf>
    <xf numFmtId="5" fontId="405" fillId="400" borderId="404" xfId="0" applyNumberFormat="1" applyFont="1" applyFill="1" applyBorder="1" applyAlignment="1">
      <alignment vertical="center" shrinkToFit="1"/>
    </xf>
    <xf numFmtId="5" fontId="406" fillId="401" borderId="405" xfId="0" applyNumberFormat="1" applyFont="1" applyFill="1" applyBorder="1" applyAlignment="1">
      <alignment vertical="center" shrinkToFit="1"/>
    </xf>
    <xf numFmtId="5" fontId="407" fillId="402" borderId="406" xfId="0" applyNumberFormat="1" applyFont="1" applyFill="1" applyBorder="1" applyAlignment="1">
      <alignment vertical="center" shrinkToFit="1"/>
    </xf>
    <xf numFmtId="0" fontId="408" fillId="403" borderId="407" xfId="0" applyFont="1" applyFill="1" applyBorder="1" applyAlignment="1">
      <alignment vertical="center" shrinkToFit="1"/>
    </xf>
    <xf numFmtId="5" fontId="409" fillId="404" borderId="408" xfId="0" applyNumberFormat="1" applyFont="1" applyFill="1" applyBorder="1" applyAlignment="1">
      <alignment vertical="center" shrinkToFit="1"/>
    </xf>
    <xf numFmtId="5" fontId="410" fillId="405" borderId="409" xfId="0" applyNumberFormat="1" applyFont="1" applyFill="1" applyBorder="1" applyAlignment="1">
      <alignment vertical="center" shrinkToFit="1"/>
    </xf>
    <xf numFmtId="176" fontId="411" fillId="406" borderId="410" xfId="0" applyNumberFormat="1" applyFont="1" applyFill="1" applyBorder="1" applyAlignment="1">
      <alignment vertical="center"/>
    </xf>
    <xf numFmtId="5" fontId="412" fillId="407" borderId="411" xfId="0" applyNumberFormat="1" applyFont="1" applyFill="1" applyBorder="1" applyAlignment="1">
      <alignment vertical="center" shrinkToFit="1"/>
    </xf>
    <xf numFmtId="5" fontId="413" fillId="408" borderId="412" xfId="0" applyNumberFormat="1" applyFont="1" applyFill="1" applyBorder="1" applyAlignment="1">
      <alignment vertical="center" shrinkToFit="1"/>
    </xf>
    <xf numFmtId="5" fontId="414" fillId="409" borderId="413" xfId="0" applyNumberFormat="1" applyFont="1" applyFill="1" applyBorder="1" applyAlignment="1">
      <alignment vertical="center" shrinkToFit="1"/>
    </xf>
    <xf numFmtId="5" fontId="415" fillId="410" borderId="414" xfId="0" applyNumberFormat="1" applyFont="1" applyFill="1" applyBorder="1" applyAlignment="1">
      <alignment vertical="center" shrinkToFit="1"/>
    </xf>
    <xf numFmtId="5" fontId="416" fillId="411" borderId="415" xfId="0" applyNumberFormat="1" applyFont="1" applyFill="1" applyBorder="1" applyAlignment="1">
      <alignment vertical="center" shrinkToFit="1"/>
    </xf>
    <xf numFmtId="178" fontId="417" fillId="412" borderId="416" xfId="0" applyNumberFormat="1" applyFont="1" applyFill="1" applyBorder="1" applyAlignment="1">
      <alignment vertical="center" shrinkToFit="1"/>
    </xf>
    <xf numFmtId="5" fontId="418" fillId="413" borderId="417" xfId="0" applyNumberFormat="1" applyFont="1" applyFill="1" applyBorder="1" applyAlignment="1">
      <alignment vertical="center" shrinkToFit="1"/>
    </xf>
    <xf numFmtId="178" fontId="419" fillId="414" borderId="418" xfId="0" applyNumberFormat="1" applyFont="1" applyFill="1" applyBorder="1" applyAlignment="1">
      <alignment vertical="center" shrinkToFit="1"/>
    </xf>
    <xf numFmtId="49" fontId="420" fillId="415" borderId="419" xfId="0" applyNumberFormat="1" applyFont="1" applyFill="1" applyBorder="1" applyAlignment="1">
      <alignment vertical="center" shrinkToFit="1"/>
    </xf>
    <xf numFmtId="49" fontId="421" fillId="416" borderId="420" xfId="0" applyNumberFormat="1" applyFont="1" applyFill="1" applyBorder="1" applyAlignment="1">
      <alignment vertical="center" shrinkToFit="1"/>
    </xf>
    <xf numFmtId="0" fontId="422" fillId="417" borderId="421" xfId="0" applyFont="1" applyFill="1" applyBorder="1" applyAlignment="1">
      <alignment vertical="center" shrinkToFit="1"/>
    </xf>
    <xf numFmtId="0" fontId="423" fillId="418" borderId="422" xfId="0" applyFont="1" applyFill="1" applyBorder="1" applyAlignment="1">
      <alignment vertical="center" shrinkToFit="1"/>
    </xf>
    <xf numFmtId="0" fontId="424" fillId="419" borderId="423" xfId="0" applyFont="1" applyFill="1" applyBorder="1" applyAlignment="1">
      <alignment vertical="center" shrinkToFit="1"/>
    </xf>
    <xf numFmtId="0" fontId="425" fillId="420" borderId="424" xfId="0" applyFont="1" applyFill="1" applyBorder="1" applyAlignment="1">
      <alignment vertical="center" shrinkToFit="1"/>
    </xf>
    <xf numFmtId="0" fontId="426" fillId="421" borderId="425" xfId="0" applyFont="1" applyFill="1" applyBorder="1" applyAlignment="1">
      <alignment vertical="center" shrinkToFit="1"/>
    </xf>
    <xf numFmtId="0" fontId="427" fillId="422" borderId="426" xfId="0" applyFont="1" applyFill="1" applyBorder="1" applyAlignment="1">
      <alignment vertical="center" shrinkToFit="1"/>
    </xf>
    <xf numFmtId="0" fontId="428" fillId="423" borderId="427" xfId="0" applyFont="1" applyFill="1" applyBorder="1" applyAlignment="1">
      <alignment vertical="center" shrinkToFit="1"/>
    </xf>
    <xf numFmtId="0" fontId="429" fillId="424" borderId="428" xfId="0" applyFont="1" applyFill="1" applyBorder="1" applyAlignment="1">
      <alignment vertical="center" shrinkToFit="1"/>
    </xf>
    <xf numFmtId="5" fontId="430" fillId="425" borderId="429" xfId="0" applyNumberFormat="1" applyFont="1" applyFill="1" applyBorder="1" applyAlignment="1">
      <alignment vertical="center" shrinkToFit="1"/>
    </xf>
    <xf numFmtId="5" fontId="431" fillId="426" borderId="430" xfId="0" applyNumberFormat="1" applyFont="1" applyFill="1" applyBorder="1" applyAlignment="1">
      <alignment vertical="center" shrinkToFit="1"/>
    </xf>
    <xf numFmtId="5" fontId="432" fillId="427" borderId="431" xfId="0" applyNumberFormat="1" applyFont="1" applyFill="1" applyBorder="1" applyAlignment="1">
      <alignment vertical="center" shrinkToFit="1"/>
    </xf>
    <xf numFmtId="5" fontId="433" fillId="428" borderId="432" xfId="0" applyNumberFormat="1" applyFont="1" applyFill="1" applyBorder="1" applyAlignment="1">
      <alignment vertical="center" shrinkToFit="1"/>
    </xf>
    <xf numFmtId="176" fontId="434" fillId="429" borderId="433" xfId="0" applyNumberFormat="1" applyFont="1" applyFill="1" applyBorder="1" applyAlignment="1">
      <alignment vertical="center"/>
    </xf>
    <xf numFmtId="49" fontId="435" fillId="430" borderId="434" xfId="0" applyNumberFormat="1" applyFont="1" applyFill="1" applyBorder="1" applyAlignment="1">
      <alignment vertical="center" shrinkToFit="1"/>
    </xf>
    <xf numFmtId="49" fontId="436" fillId="431" borderId="435" xfId="0" applyNumberFormat="1" applyFont="1" applyFill="1" applyBorder="1" applyAlignment="1">
      <alignment vertical="center" shrinkToFit="1"/>
    </xf>
    <xf numFmtId="0" fontId="437" fillId="432" borderId="436" xfId="0" applyFont="1" applyFill="1" applyBorder="1" applyAlignment="1">
      <alignment vertical="center" shrinkToFit="1"/>
    </xf>
    <xf numFmtId="0" fontId="438" fillId="433" borderId="437" xfId="0" applyFont="1" applyFill="1" applyBorder="1" applyAlignment="1">
      <alignment vertical="center" shrinkToFit="1"/>
    </xf>
    <xf numFmtId="0" fontId="439" fillId="434" borderId="438" xfId="0" applyFont="1" applyFill="1" applyBorder="1" applyAlignment="1">
      <alignment vertical="center" shrinkToFit="1"/>
    </xf>
    <xf numFmtId="0" fontId="440" fillId="435" borderId="439" xfId="0" applyFont="1" applyFill="1" applyBorder="1" applyAlignment="1">
      <alignment vertical="center" shrinkToFit="1"/>
    </xf>
    <xf numFmtId="0" fontId="441" fillId="436" borderId="440" xfId="0" applyFont="1" applyFill="1" applyBorder="1" applyAlignment="1">
      <alignment vertical="center" shrinkToFit="1"/>
    </xf>
    <xf numFmtId="0" fontId="442" fillId="437" borderId="441" xfId="0" applyFont="1" applyFill="1" applyBorder="1" applyAlignment="1">
      <alignment vertical="center" shrinkToFit="1"/>
    </xf>
    <xf numFmtId="0" fontId="443" fillId="438" borderId="442" xfId="0" applyFont="1" applyFill="1" applyBorder="1" applyAlignment="1">
      <alignment vertical="center" shrinkToFit="1"/>
    </xf>
    <xf numFmtId="0" fontId="444" fillId="439" borderId="443" xfId="0" applyFont="1" applyFill="1" applyBorder="1" applyAlignment="1">
      <alignment vertical="center" shrinkToFit="1"/>
    </xf>
    <xf numFmtId="5" fontId="445" fillId="440" borderId="444" xfId="0" applyNumberFormat="1" applyFont="1" applyFill="1" applyBorder="1" applyAlignment="1">
      <alignment vertical="center" shrinkToFit="1"/>
    </xf>
    <xf numFmtId="5" fontId="446" fillId="441" borderId="445" xfId="0" applyNumberFormat="1" applyFont="1" applyFill="1" applyBorder="1" applyAlignment="1">
      <alignment vertical="center" shrinkToFit="1"/>
    </xf>
    <xf numFmtId="5" fontId="447" fillId="442" borderId="446" xfId="0" applyNumberFormat="1" applyFont="1" applyFill="1" applyBorder="1" applyAlignment="1">
      <alignment vertical="center" shrinkToFit="1"/>
    </xf>
    <xf numFmtId="5" fontId="448" fillId="443" borderId="447" xfId="0" applyNumberFormat="1" applyFont="1" applyFill="1" applyBorder="1" applyAlignment="1">
      <alignment vertical="center" shrinkToFit="1"/>
    </xf>
    <xf numFmtId="176" fontId="449" fillId="444" borderId="448" xfId="0" applyNumberFormat="1" applyFont="1" applyFill="1" applyBorder="1" applyAlignment="1">
      <alignment vertical="center"/>
    </xf>
    <xf numFmtId="49" fontId="450" fillId="445" borderId="449" xfId="0" applyNumberFormat="1" applyFont="1" applyFill="1" applyBorder="1" applyAlignment="1">
      <alignment vertical="center" shrinkToFit="1"/>
    </xf>
    <xf numFmtId="49" fontId="451" fillId="446" borderId="450" xfId="0" applyNumberFormat="1" applyFont="1" applyFill="1" applyBorder="1" applyAlignment="1">
      <alignment vertical="center" shrinkToFit="1"/>
    </xf>
    <xf numFmtId="0" fontId="452" fillId="447" borderId="451" xfId="0" applyFont="1" applyFill="1" applyBorder="1" applyAlignment="1">
      <alignment vertical="center" shrinkToFit="1"/>
    </xf>
    <xf numFmtId="0" fontId="453" fillId="448" borderId="452" xfId="0" applyFont="1" applyFill="1" applyBorder="1" applyAlignment="1">
      <alignment vertical="center" shrinkToFit="1"/>
    </xf>
    <xf numFmtId="0" fontId="454" fillId="449" borderId="453" xfId="0" applyFont="1" applyFill="1" applyBorder="1" applyAlignment="1">
      <alignment vertical="center" shrinkToFit="1"/>
    </xf>
    <xf numFmtId="0" fontId="455" fillId="450" borderId="454" xfId="0" applyFont="1" applyFill="1" applyBorder="1" applyAlignment="1">
      <alignment vertical="center" shrinkToFit="1"/>
    </xf>
    <xf numFmtId="0" fontId="456" fillId="451" borderId="455" xfId="0" applyFont="1" applyFill="1" applyBorder="1" applyAlignment="1">
      <alignment vertical="center" shrinkToFit="1"/>
    </xf>
    <xf numFmtId="0" fontId="457" fillId="452" borderId="456" xfId="0" applyFont="1" applyFill="1" applyBorder="1" applyAlignment="1">
      <alignment vertical="center" shrinkToFit="1"/>
    </xf>
    <xf numFmtId="0" fontId="458" fillId="453" borderId="457" xfId="0" applyFont="1" applyFill="1" applyBorder="1" applyAlignment="1">
      <alignment vertical="center" shrinkToFit="1"/>
    </xf>
    <xf numFmtId="0" fontId="459" fillId="454" borderId="458" xfId="0" applyFont="1" applyFill="1" applyBorder="1" applyAlignment="1">
      <alignment vertical="center" shrinkToFit="1"/>
    </xf>
    <xf numFmtId="5" fontId="460" fillId="455" borderId="459" xfId="0" applyNumberFormat="1" applyFont="1" applyFill="1" applyBorder="1" applyAlignment="1">
      <alignment vertical="center" shrinkToFit="1"/>
    </xf>
    <xf numFmtId="5" fontId="461" fillId="456" borderId="460" xfId="0" applyNumberFormat="1" applyFont="1" applyFill="1" applyBorder="1" applyAlignment="1">
      <alignment vertical="center" shrinkToFit="1"/>
    </xf>
    <xf numFmtId="5" fontId="462" fillId="457" borderId="461" xfId="0" applyNumberFormat="1" applyFont="1" applyFill="1" applyBorder="1" applyAlignment="1">
      <alignment vertical="center" shrinkToFit="1"/>
    </xf>
    <xf numFmtId="5" fontId="463" fillId="458" borderId="462" xfId="0" applyNumberFormat="1" applyFont="1" applyFill="1" applyBorder="1" applyAlignment="1">
      <alignment vertical="center" shrinkToFit="1"/>
    </xf>
    <xf numFmtId="176" fontId="464" fillId="459" borderId="463" xfId="0" applyNumberFormat="1" applyFont="1" applyFill="1" applyBorder="1" applyAlignment="1">
      <alignment vertical="center"/>
    </xf>
    <xf numFmtId="49" fontId="465" fillId="460" borderId="464" xfId="0" applyNumberFormat="1" applyFont="1" applyFill="1" applyBorder="1" applyAlignment="1">
      <alignment vertical="center" shrinkToFit="1"/>
    </xf>
    <xf numFmtId="49" fontId="466" fillId="461" borderId="465" xfId="0" applyNumberFormat="1" applyFont="1" applyFill="1" applyBorder="1" applyAlignment="1">
      <alignment vertical="center" shrinkToFit="1"/>
    </xf>
    <xf numFmtId="0" fontId="467" fillId="462" borderId="466" xfId="0" applyFont="1" applyFill="1" applyBorder="1" applyAlignment="1">
      <alignment vertical="center" shrinkToFit="1"/>
    </xf>
    <xf numFmtId="0" fontId="468" fillId="463" borderId="467" xfId="0" applyFont="1" applyFill="1" applyBorder="1" applyAlignment="1">
      <alignment vertical="center" shrinkToFit="1"/>
    </xf>
    <xf numFmtId="0" fontId="469" fillId="464" borderId="468" xfId="0" applyFont="1" applyFill="1" applyBorder="1" applyAlignment="1">
      <alignment vertical="center" shrinkToFit="1"/>
    </xf>
    <xf numFmtId="0" fontId="470" fillId="465" borderId="469" xfId="0" applyFont="1" applyFill="1" applyBorder="1" applyAlignment="1">
      <alignment vertical="center" shrinkToFit="1"/>
    </xf>
    <xf numFmtId="0" fontId="471" fillId="466" borderId="470" xfId="0" applyFont="1" applyFill="1" applyBorder="1" applyAlignment="1">
      <alignment vertical="center" shrinkToFit="1"/>
    </xf>
    <xf numFmtId="0" fontId="472" fillId="467" borderId="471" xfId="0" applyFont="1" applyFill="1" applyBorder="1" applyAlignment="1">
      <alignment vertical="center" shrinkToFit="1"/>
    </xf>
    <xf numFmtId="0" fontId="473" fillId="468" borderId="472" xfId="0" applyFont="1" applyFill="1" applyBorder="1" applyAlignment="1">
      <alignment vertical="center" shrinkToFit="1"/>
    </xf>
    <xf numFmtId="0" fontId="474" fillId="469" borderId="473" xfId="0" applyFont="1" applyFill="1" applyBorder="1" applyAlignment="1">
      <alignment vertical="center" shrinkToFit="1"/>
    </xf>
    <xf numFmtId="5" fontId="475" fillId="470" borderId="474" xfId="0" applyNumberFormat="1" applyFont="1" applyFill="1" applyBorder="1" applyAlignment="1">
      <alignment vertical="center" shrinkToFit="1"/>
    </xf>
    <xf numFmtId="5" fontId="476" fillId="471" borderId="475" xfId="0" applyNumberFormat="1" applyFont="1" applyFill="1" applyBorder="1" applyAlignment="1">
      <alignment vertical="center" shrinkToFit="1"/>
    </xf>
    <xf numFmtId="5" fontId="477" fillId="472" borderId="476" xfId="0" applyNumberFormat="1" applyFont="1" applyFill="1" applyBorder="1" applyAlignment="1">
      <alignment vertical="center" shrinkToFit="1"/>
    </xf>
    <xf numFmtId="5" fontId="478" fillId="473" borderId="477" xfId="0" applyNumberFormat="1" applyFont="1" applyFill="1" applyBorder="1" applyAlignment="1">
      <alignment vertical="center" shrinkToFit="1"/>
    </xf>
    <xf numFmtId="176" fontId="479" fillId="474" borderId="478" xfId="0" applyNumberFormat="1" applyFont="1" applyFill="1" applyBorder="1" applyAlignment="1">
      <alignment vertical="center"/>
    </xf>
    <xf numFmtId="49" fontId="480" fillId="475" borderId="479" xfId="0" applyNumberFormat="1" applyFont="1" applyFill="1" applyBorder="1" applyAlignment="1">
      <alignment vertical="center" shrinkToFit="1"/>
    </xf>
    <xf numFmtId="49" fontId="481" fillId="476" borderId="480" xfId="0" applyNumberFormat="1" applyFont="1" applyFill="1" applyBorder="1" applyAlignment="1">
      <alignment vertical="center" shrinkToFit="1"/>
    </xf>
    <xf numFmtId="0" fontId="482" fillId="477" borderId="481" xfId="0" applyFont="1" applyFill="1" applyBorder="1" applyAlignment="1">
      <alignment vertical="center" shrinkToFit="1"/>
    </xf>
    <xf numFmtId="0" fontId="483" fillId="478" borderId="482" xfId="0" applyFont="1" applyFill="1" applyBorder="1" applyAlignment="1">
      <alignment vertical="center" shrinkToFit="1"/>
    </xf>
    <xf numFmtId="0" fontId="484" fillId="479" borderId="483" xfId="0" applyFont="1" applyFill="1" applyBorder="1" applyAlignment="1">
      <alignment vertical="center" shrinkToFit="1"/>
    </xf>
    <xf numFmtId="0" fontId="485" fillId="480" borderId="484" xfId="0" applyFont="1" applyFill="1" applyBorder="1" applyAlignment="1">
      <alignment vertical="center" shrinkToFit="1"/>
    </xf>
    <xf numFmtId="0" fontId="486" fillId="481" borderId="485" xfId="0" applyFont="1" applyFill="1" applyBorder="1" applyAlignment="1">
      <alignment vertical="center" shrinkToFit="1"/>
    </xf>
    <xf numFmtId="0" fontId="487" fillId="482" borderId="486" xfId="0" applyFont="1" applyFill="1" applyBorder="1" applyAlignment="1">
      <alignment vertical="center" shrinkToFit="1"/>
    </xf>
    <xf numFmtId="0" fontId="488" fillId="483" borderId="487" xfId="0" applyFont="1" applyFill="1" applyBorder="1" applyAlignment="1">
      <alignment vertical="center" shrinkToFit="1"/>
    </xf>
    <xf numFmtId="0" fontId="489" fillId="484" borderId="488" xfId="0" applyFont="1" applyFill="1" applyBorder="1" applyAlignment="1">
      <alignment vertical="center" shrinkToFit="1"/>
    </xf>
    <xf numFmtId="5" fontId="490" fillId="485" borderId="489" xfId="0" applyNumberFormat="1" applyFont="1" applyFill="1" applyBorder="1" applyAlignment="1">
      <alignment vertical="center" shrinkToFit="1"/>
    </xf>
    <xf numFmtId="5" fontId="491" fillId="486" borderId="490" xfId="0" applyNumberFormat="1" applyFont="1" applyFill="1" applyBorder="1" applyAlignment="1">
      <alignment vertical="center" shrinkToFit="1"/>
    </xf>
    <xf numFmtId="5" fontId="492" fillId="487" borderId="491" xfId="0" applyNumberFormat="1" applyFont="1" applyFill="1" applyBorder="1" applyAlignment="1">
      <alignment vertical="center" shrinkToFit="1"/>
    </xf>
    <xf numFmtId="5" fontId="493" fillId="488" borderId="492" xfId="0" applyNumberFormat="1" applyFont="1" applyFill="1" applyBorder="1" applyAlignment="1">
      <alignment vertical="center" shrinkToFit="1"/>
    </xf>
    <xf numFmtId="176" fontId="494" fillId="489" borderId="493" xfId="0" applyNumberFormat="1" applyFont="1" applyFill="1" applyBorder="1" applyAlignment="1">
      <alignment vertical="center"/>
    </xf>
    <xf numFmtId="49" fontId="495" fillId="490" borderId="494" xfId="0" applyNumberFormat="1" applyFont="1" applyFill="1" applyBorder="1" applyAlignment="1">
      <alignment vertical="center" shrinkToFit="1"/>
    </xf>
    <xf numFmtId="49" fontId="496" fillId="491" borderId="495" xfId="0" applyNumberFormat="1" applyFont="1" applyFill="1" applyBorder="1" applyAlignment="1">
      <alignment vertical="center" shrinkToFit="1"/>
    </xf>
    <xf numFmtId="0" fontId="497" fillId="492" borderId="496" xfId="0" applyFont="1" applyFill="1" applyBorder="1" applyAlignment="1">
      <alignment vertical="center" shrinkToFit="1"/>
    </xf>
    <xf numFmtId="0" fontId="498" fillId="493" borderId="497" xfId="0" applyFont="1" applyFill="1" applyBorder="1" applyAlignment="1">
      <alignment vertical="center" shrinkToFit="1"/>
    </xf>
    <xf numFmtId="0" fontId="499" fillId="494" borderId="498" xfId="0" applyFont="1" applyFill="1" applyBorder="1" applyAlignment="1">
      <alignment vertical="center" shrinkToFit="1"/>
    </xf>
    <xf numFmtId="0" fontId="500" fillId="495" borderId="499" xfId="0" applyFont="1" applyFill="1" applyBorder="1" applyAlignment="1">
      <alignment vertical="center" shrinkToFit="1"/>
    </xf>
    <xf numFmtId="0" fontId="501" fillId="496" borderId="500" xfId="0" applyFont="1" applyFill="1" applyBorder="1" applyAlignment="1">
      <alignment vertical="center" shrinkToFit="1"/>
    </xf>
    <xf numFmtId="0" fontId="502" fillId="497" borderId="501" xfId="0" applyFont="1" applyFill="1" applyBorder="1" applyAlignment="1">
      <alignment vertical="center" shrinkToFit="1"/>
    </xf>
    <xf numFmtId="0" fontId="503" fillId="498" borderId="502" xfId="0" applyFont="1" applyFill="1" applyBorder="1" applyAlignment="1">
      <alignment vertical="center" shrinkToFit="1"/>
    </xf>
    <xf numFmtId="0" fontId="504" fillId="499" borderId="503" xfId="0" applyFont="1" applyFill="1" applyBorder="1" applyAlignment="1">
      <alignment vertical="center" shrinkToFit="1"/>
    </xf>
    <xf numFmtId="5" fontId="505" fillId="500" borderId="504" xfId="0" applyNumberFormat="1" applyFont="1" applyFill="1" applyBorder="1" applyAlignment="1">
      <alignment vertical="center" shrinkToFit="1"/>
    </xf>
    <xf numFmtId="5" fontId="506" fillId="501" borderId="505" xfId="0" applyNumberFormat="1" applyFont="1" applyFill="1" applyBorder="1" applyAlignment="1">
      <alignment vertical="center" shrinkToFit="1"/>
    </xf>
    <xf numFmtId="5" fontId="507" fillId="502" borderId="506" xfId="0" applyNumberFormat="1" applyFont="1" applyFill="1" applyBorder="1" applyAlignment="1">
      <alignment vertical="center" shrinkToFit="1"/>
    </xf>
    <xf numFmtId="5" fontId="508" fillId="503" borderId="507" xfId="0" applyNumberFormat="1" applyFont="1" applyFill="1" applyBorder="1" applyAlignment="1">
      <alignment vertical="center" shrinkToFit="1"/>
    </xf>
    <xf numFmtId="176" fontId="509" fillId="504" borderId="508" xfId="0" applyNumberFormat="1" applyFont="1" applyFill="1" applyBorder="1" applyAlignment="1">
      <alignment vertical="center"/>
    </xf>
    <xf numFmtId="49" fontId="510" fillId="505" borderId="509" xfId="0" applyNumberFormat="1" applyFont="1" applyFill="1" applyBorder="1" applyAlignment="1">
      <alignment vertical="center" shrinkToFit="1"/>
    </xf>
    <xf numFmtId="49" fontId="511" fillId="506" borderId="510" xfId="0" applyNumberFormat="1" applyFont="1" applyFill="1" applyBorder="1" applyAlignment="1">
      <alignment vertical="center" shrinkToFit="1"/>
    </xf>
    <xf numFmtId="0" fontId="512" fillId="507" borderId="511" xfId="0" applyFont="1" applyFill="1" applyBorder="1" applyAlignment="1">
      <alignment vertical="center" shrinkToFit="1"/>
    </xf>
    <xf numFmtId="0" fontId="513" fillId="508" borderId="512" xfId="0" applyFont="1" applyFill="1" applyBorder="1" applyAlignment="1">
      <alignment vertical="center" shrinkToFit="1"/>
    </xf>
    <xf numFmtId="0" fontId="514" fillId="509" borderId="513" xfId="0" applyFont="1" applyFill="1" applyBorder="1" applyAlignment="1">
      <alignment vertical="center" shrinkToFit="1"/>
    </xf>
    <xf numFmtId="0" fontId="515" fillId="510" borderId="514" xfId="0" applyFont="1" applyFill="1" applyBorder="1" applyAlignment="1">
      <alignment vertical="center" shrinkToFit="1"/>
    </xf>
    <xf numFmtId="0" fontId="516" fillId="511" borderId="515" xfId="0" applyFont="1" applyFill="1" applyBorder="1" applyAlignment="1">
      <alignment vertical="center" shrinkToFit="1"/>
    </xf>
    <xf numFmtId="0" fontId="517" fillId="512" borderId="516" xfId="0" applyFont="1" applyFill="1" applyBorder="1" applyAlignment="1">
      <alignment vertical="center" shrinkToFit="1"/>
    </xf>
    <xf numFmtId="0" fontId="518" fillId="513" borderId="517" xfId="0" applyFont="1" applyFill="1" applyBorder="1" applyAlignment="1">
      <alignment vertical="center" shrinkToFit="1"/>
    </xf>
    <xf numFmtId="0" fontId="519" fillId="514" borderId="518" xfId="0" applyFont="1" applyFill="1" applyBorder="1" applyAlignment="1">
      <alignment vertical="center" shrinkToFit="1"/>
    </xf>
    <xf numFmtId="5" fontId="520" fillId="515" borderId="519" xfId="0" applyNumberFormat="1" applyFont="1" applyFill="1" applyBorder="1" applyAlignment="1">
      <alignment vertical="center" shrinkToFit="1"/>
    </xf>
    <xf numFmtId="5" fontId="521" fillId="516" borderId="520" xfId="0" applyNumberFormat="1" applyFont="1" applyFill="1" applyBorder="1" applyAlignment="1">
      <alignment vertical="center" shrinkToFit="1"/>
    </xf>
    <xf numFmtId="5" fontId="522" fillId="517" borderId="521" xfId="0" applyNumberFormat="1" applyFont="1" applyFill="1" applyBorder="1" applyAlignment="1">
      <alignment vertical="center" shrinkToFit="1"/>
    </xf>
    <xf numFmtId="5" fontId="523" fillId="518" borderId="522" xfId="0" applyNumberFormat="1" applyFont="1" applyFill="1" applyBorder="1" applyAlignment="1">
      <alignment vertical="center" shrinkToFit="1"/>
    </xf>
    <xf numFmtId="176" fontId="524" fillId="519" borderId="523" xfId="0" applyNumberFormat="1" applyFont="1" applyFill="1" applyBorder="1" applyAlignment="1">
      <alignment vertical="center"/>
    </xf>
    <xf numFmtId="49" fontId="525" fillId="520" borderId="524" xfId="0" applyNumberFormat="1" applyFont="1" applyFill="1" applyBorder="1" applyAlignment="1">
      <alignment vertical="center" shrinkToFit="1"/>
    </xf>
    <xf numFmtId="49" fontId="526" fillId="521" borderId="525" xfId="0" applyNumberFormat="1" applyFont="1" applyFill="1" applyBorder="1" applyAlignment="1">
      <alignment vertical="center" shrinkToFit="1"/>
    </xf>
    <xf numFmtId="0" fontId="527" fillId="522" borderId="526" xfId="0" applyFont="1" applyFill="1" applyBorder="1" applyAlignment="1">
      <alignment vertical="center" shrinkToFit="1"/>
    </xf>
    <xf numFmtId="0" fontId="528" fillId="523" borderId="527" xfId="0" applyFont="1" applyFill="1" applyBorder="1" applyAlignment="1">
      <alignment vertical="center" shrinkToFit="1"/>
    </xf>
    <xf numFmtId="0" fontId="529" fillId="524" borderId="528" xfId="0" applyFont="1" applyFill="1" applyBorder="1" applyAlignment="1">
      <alignment vertical="center" shrinkToFit="1"/>
    </xf>
    <xf numFmtId="0" fontId="530" fillId="525" borderId="529" xfId="0" applyFont="1" applyFill="1" applyBorder="1" applyAlignment="1">
      <alignment vertical="center" shrinkToFit="1"/>
    </xf>
    <xf numFmtId="0" fontId="531" fillId="526" borderId="530" xfId="0" applyFont="1" applyFill="1" applyBorder="1" applyAlignment="1">
      <alignment vertical="center" shrinkToFit="1"/>
    </xf>
    <xf numFmtId="0" fontId="532" fillId="527" borderId="531" xfId="0" applyFont="1" applyFill="1" applyBorder="1" applyAlignment="1">
      <alignment vertical="center" shrinkToFit="1"/>
    </xf>
    <xf numFmtId="0" fontId="533" fillId="528" borderId="532" xfId="0" applyFont="1" applyFill="1" applyBorder="1" applyAlignment="1">
      <alignment vertical="center" shrinkToFit="1"/>
    </xf>
    <xf numFmtId="0" fontId="534" fillId="529" borderId="533" xfId="0" applyFont="1" applyFill="1" applyBorder="1" applyAlignment="1">
      <alignment vertical="center" shrinkToFit="1"/>
    </xf>
    <xf numFmtId="5" fontId="535" fillId="530" borderId="534" xfId="0" applyNumberFormat="1" applyFont="1" applyFill="1" applyBorder="1" applyAlignment="1">
      <alignment vertical="center" shrinkToFit="1"/>
    </xf>
    <xf numFmtId="5" fontId="536" fillId="531" borderId="535" xfId="0" applyNumberFormat="1" applyFont="1" applyFill="1" applyBorder="1" applyAlignment="1">
      <alignment vertical="center" shrinkToFit="1"/>
    </xf>
    <xf numFmtId="5" fontId="537" fillId="532" borderId="536" xfId="0" applyNumberFormat="1" applyFont="1" applyFill="1" applyBorder="1" applyAlignment="1">
      <alignment vertical="center" shrinkToFit="1"/>
    </xf>
    <xf numFmtId="5" fontId="538" fillId="533" borderId="537" xfId="0" applyNumberFormat="1" applyFont="1" applyFill="1" applyBorder="1" applyAlignment="1">
      <alignment vertical="center" shrinkToFit="1"/>
    </xf>
    <xf numFmtId="176" fontId="539" fillId="534" borderId="538" xfId="0" applyNumberFormat="1" applyFont="1" applyFill="1" applyBorder="1" applyAlignment="1">
      <alignment vertical="center"/>
    </xf>
    <xf numFmtId="0" fontId="2" fillId="24" borderId="28" xfId="0" applyFont="1" applyFill="1" applyBorder="1" applyAlignment="1">
      <alignment vertical="center" shrinkToFit="1"/>
    </xf>
    <xf numFmtId="0" fontId="2" fillId="9" borderId="13" xfId="0" applyFont="1" applyFill="1" applyBorder="1" applyAlignment="1">
      <alignment vertical="center" shrinkToFi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9525</xdr:rowOff>
        </xdr:from>
        <xdr:to>
          <xdr:col>19</xdr:col>
          <xdr:colOff>161925</xdr:colOff>
          <xdr:row>12</xdr:row>
          <xdr:rowOff>123825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0"/>
  <sheetViews>
    <sheetView workbookViewId="0">
      <selection activeCell="M9" sqref="M9"/>
    </sheetView>
  </sheetViews>
  <sheetFormatPr defaultRowHeight="13.5" x14ac:dyDescent="0.15"/>
  <cols>
    <col min="1" max="1" width="11.625" bestFit="1" customWidth="1"/>
    <col min="2" max="3" width="9" style="22"/>
  </cols>
  <sheetData>
    <row r="1" spans="1:16" x14ac:dyDescent="0.15">
      <c r="B1"/>
      <c r="C1"/>
    </row>
    <row r="2" spans="1:16" x14ac:dyDescent="0.15">
      <c r="A2" s="2"/>
      <c r="B2" s="2"/>
      <c r="C2"/>
    </row>
    <row r="3" spans="1:16" x14ac:dyDescent="0.15">
      <c r="A3" s="1"/>
      <c r="B3" s="2"/>
      <c r="C3"/>
    </row>
    <row r="4" spans="1:16" x14ac:dyDescent="0.15">
      <c r="A4" s="6"/>
      <c r="B4" s="7" t="s">
        <v>0</v>
      </c>
      <c r="C4" s="7" t="s">
        <v>1</v>
      </c>
      <c r="D4" s="7" t="s">
        <v>56</v>
      </c>
      <c r="E4" s="7" t="s">
        <v>2</v>
      </c>
      <c r="F4" s="7" t="s">
        <v>3</v>
      </c>
      <c r="G4" s="7" t="s">
        <v>4</v>
      </c>
      <c r="H4" s="7" t="s">
        <v>5</v>
      </c>
      <c r="I4" s="7" t="s">
        <v>6</v>
      </c>
      <c r="J4" s="7" t="s">
        <v>7</v>
      </c>
      <c r="K4" s="7" t="s">
        <v>36</v>
      </c>
      <c r="L4" s="8" t="s">
        <v>8</v>
      </c>
      <c r="M4" s="8" t="s">
        <v>9</v>
      </c>
      <c r="N4" s="8" t="s">
        <v>10</v>
      </c>
      <c r="O4" s="8" t="s">
        <v>11</v>
      </c>
      <c r="P4" s="8" t="s">
        <v>12</v>
      </c>
    </row>
    <row r="5" spans="1:16" x14ac:dyDescent="0.15">
      <c r="A5" s="3">
        <v>1</v>
      </c>
      <c r="B5" s="27" t="s">
        <v>71</v>
      </c>
      <c r="C5" s="28" t="s">
        <v>72</v>
      </c>
      <c r="D5" s="29" t="s">
        <v>13</v>
      </c>
      <c r="E5" s="30" t="s">
        <v>62</v>
      </c>
      <c r="F5" s="31" t="s">
        <v>62</v>
      </c>
      <c r="G5" s="32" t="s">
        <v>14</v>
      </c>
      <c r="H5" s="558" t="s">
        <v>113</v>
      </c>
      <c r="I5" s="33" t="s">
        <v>15</v>
      </c>
      <c r="J5" s="34" t="s">
        <v>16</v>
      </c>
      <c r="K5" s="35" t="s">
        <v>17</v>
      </c>
      <c r="L5" s="36">
        <v>20</v>
      </c>
      <c r="M5" s="37">
        <v>10</v>
      </c>
      <c r="N5" s="38">
        <v>0</v>
      </c>
      <c r="O5" s="39">
        <f>L5-M5-N5</f>
        <v>10</v>
      </c>
      <c r="P5" s="40">
        <f>O5/L5</f>
        <v>0.5</v>
      </c>
    </row>
    <row r="6" spans="1:16" x14ac:dyDescent="0.15">
      <c r="A6" s="3">
        <v>2</v>
      </c>
      <c r="B6" s="41" t="s">
        <v>73</v>
      </c>
      <c r="C6" s="42" t="s">
        <v>74</v>
      </c>
      <c r="D6" s="43"/>
      <c r="E6" s="44"/>
      <c r="F6" s="45"/>
      <c r="G6" s="46"/>
      <c r="H6" s="557" t="s">
        <v>114</v>
      </c>
      <c r="I6" s="47"/>
      <c r="J6" s="48" t="s">
        <v>18</v>
      </c>
      <c r="K6" s="49"/>
      <c r="L6" s="50">
        <v>-500000</v>
      </c>
      <c r="M6" s="51">
        <v>5</v>
      </c>
      <c r="N6" s="52">
        <v>0</v>
      </c>
      <c r="O6" s="53">
        <f>L6-M6-N6</f>
        <v>-500005</v>
      </c>
      <c r="P6" s="54">
        <f>O6/L6</f>
        <v>1.0000100000000001</v>
      </c>
    </row>
    <row r="7" spans="1:16" x14ac:dyDescent="0.15">
      <c r="A7" s="3"/>
      <c r="B7" s="25"/>
      <c r="C7" s="25"/>
      <c r="D7" s="4"/>
      <c r="E7" s="4"/>
      <c r="F7" s="4"/>
      <c r="G7" s="4"/>
      <c r="H7" s="4"/>
      <c r="I7" s="4"/>
      <c r="J7" s="4"/>
      <c r="K7" s="59" t="s">
        <v>19</v>
      </c>
      <c r="L7" s="55">
        <f>SUM(L5:L6)-SUM(L5,0)</f>
        <v>-500000</v>
      </c>
      <c r="M7" s="56">
        <f>SUM(M5:M6)-SUM(M5,0)</f>
        <v>5</v>
      </c>
      <c r="N7" s="60">
        <f>SUM(N5:N6)-SUM(N5,0)</f>
        <v>0</v>
      </c>
      <c r="O7" s="61">
        <f>SUM(O5:O6)-SUM(O5,0)</f>
        <v>-500005</v>
      </c>
      <c r="P7" s="62">
        <f>O7/L7</f>
        <v>1.0000100000000001</v>
      </c>
    </row>
    <row r="8" spans="1:16" x14ac:dyDescent="0.15">
      <c r="A8" s="3"/>
      <c r="B8" s="25"/>
      <c r="C8" s="25"/>
      <c r="D8" s="4"/>
      <c r="E8" s="4"/>
      <c r="F8" s="4"/>
      <c r="G8" s="4"/>
      <c r="H8" s="4"/>
      <c r="I8" s="4"/>
      <c r="J8" s="4"/>
      <c r="K8" s="4"/>
      <c r="L8" s="57" t="s">
        <v>75</v>
      </c>
      <c r="M8" s="58" t="s">
        <v>75</v>
      </c>
      <c r="N8" s="5"/>
      <c r="O8" s="5"/>
      <c r="P8" s="3"/>
    </row>
    <row r="9" spans="1:16" x14ac:dyDescent="0.15">
      <c r="A9" s="3"/>
      <c r="B9" s="25"/>
      <c r="C9" s="25"/>
      <c r="D9" s="4"/>
      <c r="E9" s="4"/>
      <c r="F9" s="4"/>
      <c r="G9" s="4"/>
      <c r="H9" s="4"/>
      <c r="I9" s="4"/>
      <c r="J9" s="4"/>
      <c r="K9" s="4"/>
      <c r="L9" s="63" t="s">
        <v>20</v>
      </c>
      <c r="M9" s="64">
        <f>L7/M11</f>
        <v>-500000</v>
      </c>
      <c r="N9" s="5"/>
      <c r="O9" s="5"/>
      <c r="P9" s="3"/>
    </row>
    <row r="10" spans="1:16" x14ac:dyDescent="0.15">
      <c r="A10" s="3"/>
      <c r="B10" s="25"/>
      <c r="C10" s="25"/>
      <c r="D10" s="4"/>
      <c r="E10" s="4"/>
      <c r="F10" s="4"/>
      <c r="G10" s="4"/>
      <c r="H10" s="4"/>
      <c r="I10" s="4"/>
      <c r="J10" s="4"/>
      <c r="K10" s="4"/>
      <c r="L10" s="65" t="s">
        <v>21</v>
      </c>
      <c r="M10" s="66">
        <f>O7/M11</f>
        <v>-500005</v>
      </c>
      <c r="N10" s="5"/>
      <c r="O10" s="5"/>
      <c r="P10" s="3"/>
    </row>
    <row r="11" spans="1:16" x14ac:dyDescent="0.15">
      <c r="A11" s="3"/>
      <c r="B11" s="25"/>
      <c r="C11" s="25"/>
      <c r="D11" s="4"/>
      <c r="E11" s="4"/>
      <c r="F11" s="4"/>
      <c r="G11" s="4"/>
      <c r="H11" s="4"/>
      <c r="I11" s="4"/>
      <c r="J11" s="4"/>
      <c r="K11" s="4"/>
      <c r="L11" s="67" t="s">
        <v>22</v>
      </c>
      <c r="M11" s="68">
        <v>1</v>
      </c>
      <c r="N11" s="5"/>
      <c r="O11" s="5"/>
      <c r="P11" s="3"/>
    </row>
    <row r="12" spans="1:16" x14ac:dyDescent="0.15">
      <c r="A12" s="3"/>
      <c r="B12" s="25"/>
      <c r="C12" s="25"/>
      <c r="D12" s="4"/>
      <c r="E12" s="4"/>
      <c r="F12" s="4"/>
      <c r="G12" s="4"/>
      <c r="H12" s="4"/>
      <c r="I12" s="4"/>
      <c r="J12" s="4"/>
      <c r="K12" s="4"/>
      <c r="L12" s="69" t="s">
        <v>76</v>
      </c>
      <c r="M12" s="70" t="s">
        <v>77</v>
      </c>
      <c r="N12" s="5"/>
      <c r="O12" s="5"/>
      <c r="P12" s="3"/>
    </row>
    <row r="13" spans="1:16" x14ac:dyDescent="0.15">
      <c r="A13" s="3"/>
      <c r="B13" s="25"/>
      <c r="C13" s="25"/>
      <c r="D13" s="4"/>
      <c r="E13" s="4"/>
      <c r="F13" s="4"/>
      <c r="G13" s="4"/>
      <c r="H13" s="4"/>
      <c r="I13" s="4"/>
      <c r="J13" s="4"/>
      <c r="K13" s="4"/>
      <c r="L13" s="71" t="s">
        <v>78</v>
      </c>
      <c r="M13" s="72" t="s">
        <v>79</v>
      </c>
      <c r="N13" s="5"/>
      <c r="O13" s="5"/>
      <c r="P13" s="3"/>
    </row>
    <row r="14" spans="1:16" x14ac:dyDescent="0.15">
      <c r="A14" s="3"/>
      <c r="B14" s="25"/>
      <c r="C14" s="25"/>
      <c r="D14" s="4"/>
      <c r="E14" s="4"/>
      <c r="F14" s="4"/>
      <c r="G14" s="4"/>
      <c r="H14" s="4"/>
      <c r="I14" s="4"/>
      <c r="J14" s="4"/>
      <c r="K14" s="4"/>
      <c r="L14" s="73" t="s">
        <v>80</v>
      </c>
      <c r="M14" s="74" t="s">
        <v>81</v>
      </c>
      <c r="N14" s="5"/>
      <c r="O14" s="5"/>
      <c r="P14" s="3"/>
    </row>
    <row r="15" spans="1:16" x14ac:dyDescent="0.15">
      <c r="A15" s="3"/>
      <c r="B15" s="25"/>
      <c r="C15" s="25"/>
      <c r="D15" s="4"/>
      <c r="E15" s="4"/>
      <c r="F15" s="4"/>
      <c r="G15" s="4"/>
      <c r="H15" s="4"/>
      <c r="I15" s="4"/>
      <c r="J15" s="4"/>
      <c r="K15" s="4"/>
      <c r="L15" s="75" t="s">
        <v>82</v>
      </c>
      <c r="M15" s="76">
        <f>M14-M13</f>
        <v>6</v>
      </c>
      <c r="N15" s="5"/>
      <c r="O15" s="5"/>
      <c r="P15" s="3"/>
    </row>
    <row r="16" spans="1:16" x14ac:dyDescent="0.15">
      <c r="A16" s="3"/>
      <c r="B16" s="26"/>
      <c r="C16" s="26"/>
      <c r="D16" s="3"/>
      <c r="E16" s="3"/>
      <c r="F16" s="3"/>
      <c r="G16" s="3"/>
      <c r="H16" s="3"/>
      <c r="I16" s="3"/>
      <c r="J16" s="3"/>
      <c r="K16" s="3"/>
      <c r="L16" s="77" t="s">
        <v>83</v>
      </c>
      <c r="M16" s="78" t="s">
        <v>84</v>
      </c>
      <c r="N16" s="3"/>
      <c r="O16" s="3"/>
      <c r="P16" s="3"/>
    </row>
    <row r="17" spans="1:16" x14ac:dyDescent="0.15">
      <c r="A17" s="3"/>
      <c r="B17" s="26"/>
      <c r="C17" s="26"/>
      <c r="D17" s="3"/>
      <c r="E17" s="3"/>
      <c r="F17" s="3"/>
      <c r="G17" s="3"/>
      <c r="H17" s="3"/>
      <c r="I17" s="3"/>
      <c r="J17" s="3"/>
      <c r="K17" s="3"/>
      <c r="L17" s="79" t="s">
        <v>85</v>
      </c>
      <c r="M17" s="80"/>
      <c r="N17" s="3"/>
      <c r="O17" s="3"/>
      <c r="P17" s="3"/>
    </row>
    <row r="18" spans="1:16" x14ac:dyDescent="0.15">
      <c r="A18" s="3"/>
      <c r="B18" s="26"/>
      <c r="C18" s="26"/>
      <c r="D18" s="3"/>
      <c r="E18" s="3"/>
      <c r="F18" s="3"/>
      <c r="G18" s="3"/>
      <c r="H18" s="3"/>
      <c r="I18" s="3"/>
      <c r="J18" s="3"/>
      <c r="K18" s="3"/>
      <c r="L18" s="81" t="s">
        <v>86</v>
      </c>
      <c r="M18" s="82" t="s">
        <v>23</v>
      </c>
      <c r="N18" s="3"/>
      <c r="O18" s="3"/>
      <c r="P18" s="3"/>
    </row>
    <row r="19" spans="1:16" x14ac:dyDescent="0.15">
      <c r="A19" s="3"/>
      <c r="B19" s="25"/>
      <c r="C19" s="25"/>
      <c r="D19" s="4"/>
      <c r="E19" s="4"/>
      <c r="F19" s="4"/>
      <c r="G19" s="4"/>
      <c r="H19" s="4"/>
      <c r="I19" s="4"/>
      <c r="J19" s="4"/>
      <c r="K19" s="4"/>
      <c r="L19" s="83" t="s">
        <v>87</v>
      </c>
      <c r="M19" s="84" t="s">
        <v>24</v>
      </c>
      <c r="N19" s="5"/>
      <c r="O19" s="5"/>
      <c r="P19" s="3"/>
    </row>
    <row r="20" spans="1:16" x14ac:dyDescent="0.15">
      <c r="A20" s="3"/>
      <c r="B20" s="25"/>
      <c r="C20" s="25"/>
      <c r="D20" s="4"/>
      <c r="E20" s="4"/>
      <c r="F20" s="4"/>
      <c r="G20" s="4"/>
      <c r="H20" s="4"/>
      <c r="I20" s="4"/>
      <c r="J20" s="4"/>
      <c r="K20" s="4"/>
      <c r="L20" s="85" t="s">
        <v>88</v>
      </c>
      <c r="M20" s="86" t="s">
        <v>84</v>
      </c>
      <c r="N20" s="5"/>
      <c r="O20" s="5"/>
      <c r="P20" s="3"/>
    </row>
  </sheetData>
  <phoneticPr fontId="6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16</xdr:col>
                <xdr:colOff>0</xdr:colOff>
                <xdr:row>7</xdr:row>
                <xdr:rowOff>9525</xdr:rowOff>
              </from>
              <to>
                <xdr:col>19</xdr:col>
                <xdr:colOff>161925</xdr:colOff>
                <xdr:row>12</xdr:row>
                <xdr:rowOff>123825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S13"/>
  <sheetViews>
    <sheetView workbookViewId="0">
      <selection activeCell="B5" sqref="B5:C7"/>
    </sheetView>
  </sheetViews>
  <sheetFormatPr defaultRowHeight="13.5" x14ac:dyDescent="0.15"/>
  <cols>
    <col min="18" max="18" width="12" bestFit="1" customWidth="1"/>
    <col min="19" max="19" width="10.25" bestFit="1" customWidth="1"/>
  </cols>
  <sheetData>
    <row r="4" spans="1:19" x14ac:dyDescent="0.15">
      <c r="A4" s="6"/>
      <c r="B4" s="7" t="s">
        <v>0</v>
      </c>
      <c r="C4" s="7" t="s">
        <v>1</v>
      </c>
      <c r="D4" s="7" t="s">
        <v>56</v>
      </c>
      <c r="E4" s="7" t="s">
        <v>2</v>
      </c>
      <c r="F4" s="7" t="s">
        <v>3</v>
      </c>
      <c r="G4" s="7" t="s">
        <v>4</v>
      </c>
      <c r="H4" s="7" t="s">
        <v>5</v>
      </c>
      <c r="I4" s="7" t="s">
        <v>6</v>
      </c>
      <c r="J4" s="7" t="s">
        <v>7</v>
      </c>
      <c r="K4" s="7" t="s">
        <v>36</v>
      </c>
      <c r="L4" s="8" t="s">
        <v>8</v>
      </c>
      <c r="M4" s="8" t="s">
        <v>9</v>
      </c>
      <c r="N4" s="8" t="s">
        <v>10</v>
      </c>
      <c r="O4" s="8" t="s">
        <v>11</v>
      </c>
      <c r="P4" s="8" t="s">
        <v>12</v>
      </c>
      <c r="Q4" s="9" t="s">
        <v>25</v>
      </c>
      <c r="R4" s="10" t="s">
        <v>26</v>
      </c>
      <c r="S4" s="11" t="s">
        <v>27</v>
      </c>
    </row>
    <row r="5" spans="1:19" x14ac:dyDescent="0.15">
      <c r="A5" s="19">
        <v>1</v>
      </c>
      <c r="B5" s="87" t="s">
        <v>89</v>
      </c>
      <c r="C5" s="88" t="s">
        <v>90</v>
      </c>
      <c r="D5" s="89" t="s">
        <v>28</v>
      </c>
      <c r="E5" s="90"/>
      <c r="F5" s="91" t="s">
        <v>49</v>
      </c>
      <c r="G5" s="92" t="s">
        <v>29</v>
      </c>
      <c r="H5" s="93" t="s">
        <v>37</v>
      </c>
      <c r="I5" s="94" t="s">
        <v>30</v>
      </c>
      <c r="J5" s="95" t="s">
        <v>38</v>
      </c>
      <c r="K5" s="96" t="s">
        <v>44</v>
      </c>
      <c r="L5" s="97">
        <v>630000</v>
      </c>
      <c r="M5" s="98">
        <v>600000</v>
      </c>
      <c r="N5" s="99">
        <v>0</v>
      </c>
      <c r="O5" s="100">
        <f>L5-M5-N5</f>
        <v>30000</v>
      </c>
      <c r="P5" s="101">
        <f>O5/L5</f>
        <v>4.7619047619047616E-2</v>
      </c>
      <c r="Q5" s="102">
        <v>0.5</v>
      </c>
      <c r="R5" s="103">
        <f>L5*Q5</f>
        <v>315000</v>
      </c>
      <c r="S5" s="104">
        <f>Q5*O5</f>
        <v>15000</v>
      </c>
    </row>
    <row r="6" spans="1:19" x14ac:dyDescent="0.15">
      <c r="A6" s="19">
        <v>2</v>
      </c>
      <c r="B6" s="105" t="s">
        <v>91</v>
      </c>
      <c r="C6" s="106" t="s">
        <v>92</v>
      </c>
      <c r="D6" s="107" t="s">
        <v>31</v>
      </c>
      <c r="E6" s="108" t="s">
        <v>48</v>
      </c>
      <c r="F6" s="109" t="s">
        <v>49</v>
      </c>
      <c r="G6" s="110" t="s">
        <v>32</v>
      </c>
      <c r="H6" s="111" t="s">
        <v>49</v>
      </c>
      <c r="I6" s="112" t="s">
        <v>33</v>
      </c>
      <c r="J6" s="113" t="s">
        <v>39</v>
      </c>
      <c r="K6" s="114" t="s">
        <v>34</v>
      </c>
      <c r="L6" s="115">
        <v>570000</v>
      </c>
      <c r="M6" s="116">
        <v>540000</v>
      </c>
      <c r="N6" s="117">
        <v>0</v>
      </c>
      <c r="O6" s="118">
        <f>L6-M6-N6</f>
        <v>30000</v>
      </c>
      <c r="P6" s="119">
        <f>O6/L6</f>
        <v>5.2631578947368418E-2</v>
      </c>
      <c r="Q6" s="120">
        <v>1</v>
      </c>
      <c r="R6" s="121">
        <f>L6*Q6</f>
        <v>570000</v>
      </c>
      <c r="S6" s="122">
        <f>Q6*O6</f>
        <v>30000</v>
      </c>
    </row>
    <row r="7" spans="1:19" x14ac:dyDescent="0.15">
      <c r="A7" s="19">
        <v>3</v>
      </c>
      <c r="B7" s="123" t="s">
        <v>93</v>
      </c>
      <c r="C7" s="124" t="s">
        <v>94</v>
      </c>
      <c r="D7" s="125"/>
      <c r="E7" s="126" t="s">
        <v>40</v>
      </c>
      <c r="F7" s="127" t="s">
        <v>41</v>
      </c>
      <c r="G7" s="128" t="s">
        <v>33</v>
      </c>
      <c r="H7" s="129" t="s">
        <v>37</v>
      </c>
      <c r="I7" s="130" t="s">
        <v>29</v>
      </c>
      <c r="J7" s="131" t="s">
        <v>42</v>
      </c>
      <c r="K7" s="132" t="s">
        <v>35</v>
      </c>
      <c r="L7" s="133">
        <v>1200000</v>
      </c>
      <c r="M7" s="134">
        <v>1140000</v>
      </c>
      <c r="N7" s="135">
        <v>0</v>
      </c>
      <c r="O7" s="136">
        <f>L7-M7-N7</f>
        <v>60000</v>
      </c>
      <c r="P7" s="137">
        <f>O7/L7</f>
        <v>0.05</v>
      </c>
      <c r="Q7" s="138">
        <v>1.5</v>
      </c>
      <c r="R7" s="139">
        <f>L7*Q7</f>
        <v>1800000</v>
      </c>
      <c r="S7" s="140">
        <f>Q7*O7</f>
        <v>90000</v>
      </c>
    </row>
    <row r="8" spans="1:19" x14ac:dyDescent="0.15">
      <c r="A8" s="19"/>
      <c r="B8" s="12"/>
      <c r="C8" s="12"/>
      <c r="D8" s="12"/>
      <c r="E8" s="12"/>
      <c r="F8" s="12"/>
      <c r="G8" s="12"/>
      <c r="H8" s="12"/>
      <c r="I8" s="12"/>
      <c r="J8" s="12"/>
      <c r="K8" s="145" t="s">
        <v>19</v>
      </c>
      <c r="L8" s="141">
        <f>SUM(L5:L7)-SUM(L5,0)</f>
        <v>1770000</v>
      </c>
      <c r="M8" s="142">
        <f>SUM(M5:M7)-SUM(M5,0)</f>
        <v>1680000</v>
      </c>
      <c r="N8" s="146">
        <f>SUM(N5:N7)-SUM(N5,0)</f>
        <v>0</v>
      </c>
      <c r="O8" s="147">
        <f>SUM(O5:O7)-SUM(O5,0)</f>
        <v>90000</v>
      </c>
      <c r="P8" s="148">
        <f>O8/L8</f>
        <v>5.0847457627118647E-2</v>
      </c>
      <c r="Q8" s="16">
        <f>SUM(Q5:Q7)-SUM(Q5,0)</f>
        <v>2.5</v>
      </c>
      <c r="R8" s="17">
        <f>SUM(R5:R7)-SUM(R5,0)</f>
        <v>2370000</v>
      </c>
      <c r="S8" s="17">
        <f>SUM(S5:S7)-SUM(S5,0)</f>
        <v>120000</v>
      </c>
    </row>
    <row r="9" spans="1:19" x14ac:dyDescent="0.15">
      <c r="A9" s="19"/>
      <c r="B9" s="12"/>
      <c r="C9" s="12"/>
      <c r="D9" s="12"/>
      <c r="E9" s="12"/>
      <c r="F9" s="12"/>
      <c r="G9" s="12"/>
      <c r="H9" s="12"/>
      <c r="I9" s="12"/>
      <c r="J9" s="12"/>
      <c r="K9" s="12"/>
      <c r="L9" s="143" t="s">
        <v>75</v>
      </c>
      <c r="M9" s="144" t="s">
        <v>75</v>
      </c>
      <c r="N9" s="18"/>
      <c r="O9" s="18"/>
      <c r="P9" s="19"/>
      <c r="Q9" s="19"/>
      <c r="R9" s="19"/>
      <c r="S9" s="19"/>
    </row>
    <row r="10" spans="1:19" x14ac:dyDescent="0.15">
      <c r="A10" s="19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49" t="s">
        <v>20</v>
      </c>
      <c r="M10" s="150">
        <f>R8/Q8</f>
        <v>948000</v>
      </c>
      <c r="N10" s="18"/>
      <c r="O10" s="18"/>
      <c r="P10" s="19"/>
      <c r="Q10" s="19"/>
      <c r="R10" s="19"/>
      <c r="S10" s="19"/>
    </row>
    <row r="11" spans="1:19" x14ac:dyDescent="0.15">
      <c r="A11" s="19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51" t="s">
        <v>21</v>
      </c>
      <c r="M11" s="152">
        <f>S8/Q8</f>
        <v>48000</v>
      </c>
      <c r="N11" s="18"/>
      <c r="O11" s="18"/>
      <c r="P11" s="19"/>
      <c r="Q11" s="19"/>
      <c r="R11" s="19"/>
      <c r="S11" s="19"/>
    </row>
    <row r="12" spans="1:19" x14ac:dyDescent="0.15">
      <c r="A12" s="19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53" t="s">
        <v>22</v>
      </c>
      <c r="M12" s="154">
        <v>2</v>
      </c>
      <c r="N12" s="18"/>
      <c r="O12" s="18"/>
      <c r="P12" s="19"/>
      <c r="Q12" s="19"/>
      <c r="R12" s="19"/>
      <c r="S12" s="19"/>
    </row>
    <row r="13" spans="1:19" x14ac:dyDescent="0.15">
      <c r="A13" s="19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55" t="s">
        <v>52</v>
      </c>
      <c r="M13" s="156" t="s">
        <v>95</v>
      </c>
      <c r="N13" s="18"/>
      <c r="O13" s="18"/>
      <c r="P13" s="19"/>
      <c r="Q13" s="19"/>
      <c r="R13" s="19"/>
      <c r="S13" s="19"/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4:S13"/>
  <sheetViews>
    <sheetView workbookViewId="0">
      <selection activeCell="J8" sqref="J8"/>
    </sheetView>
  </sheetViews>
  <sheetFormatPr defaultRowHeight="13.5" x14ac:dyDescent="0.15"/>
  <cols>
    <col min="18" max="18" width="12" bestFit="1" customWidth="1"/>
    <col min="19" max="19" width="10.25" bestFit="1" customWidth="1"/>
  </cols>
  <sheetData>
    <row r="4" spans="1:19" x14ac:dyDescent="0.15">
      <c r="A4" s="6"/>
      <c r="B4" s="7" t="s">
        <v>0</v>
      </c>
      <c r="C4" s="7" t="s">
        <v>1</v>
      </c>
      <c r="D4" s="7" t="s">
        <v>56</v>
      </c>
      <c r="E4" s="7" t="s">
        <v>2</v>
      </c>
      <c r="F4" s="7" t="s">
        <v>3</v>
      </c>
      <c r="G4" s="7" t="s">
        <v>4</v>
      </c>
      <c r="H4" s="7" t="s">
        <v>5</v>
      </c>
      <c r="I4" s="7" t="s">
        <v>6</v>
      </c>
      <c r="J4" s="7" t="s">
        <v>7</v>
      </c>
      <c r="K4" s="7" t="s">
        <v>36</v>
      </c>
      <c r="L4" s="8" t="s">
        <v>8</v>
      </c>
      <c r="M4" s="8" t="s">
        <v>9</v>
      </c>
      <c r="N4" s="8" t="s">
        <v>10</v>
      </c>
      <c r="O4" s="8" t="s">
        <v>11</v>
      </c>
      <c r="P4" s="8" t="s">
        <v>12</v>
      </c>
      <c r="Q4" s="9" t="s">
        <v>25</v>
      </c>
      <c r="R4" s="10" t="s">
        <v>26</v>
      </c>
      <c r="S4" s="11" t="s">
        <v>27</v>
      </c>
    </row>
    <row r="5" spans="1:19" x14ac:dyDescent="0.15">
      <c r="A5" s="19">
        <v>1</v>
      </c>
      <c r="B5" s="157" t="s">
        <v>71</v>
      </c>
      <c r="C5" s="158" t="s">
        <v>96</v>
      </c>
      <c r="D5" s="159" t="s">
        <v>28</v>
      </c>
      <c r="E5" s="160"/>
      <c r="F5" s="161" t="s">
        <v>49</v>
      </c>
      <c r="G5" s="162" t="s">
        <v>29</v>
      </c>
      <c r="H5" s="163" t="s">
        <v>37</v>
      </c>
      <c r="I5" s="164" t="s">
        <v>30</v>
      </c>
      <c r="J5" s="165" t="s">
        <v>68</v>
      </c>
      <c r="K5" s="166" t="s">
        <v>44</v>
      </c>
      <c r="L5" s="167">
        <v>630000</v>
      </c>
      <c r="M5" s="168">
        <v>600000</v>
      </c>
      <c r="N5" s="169">
        <v>0</v>
      </c>
      <c r="O5" s="170">
        <f>L5-M5-N5</f>
        <v>30000</v>
      </c>
      <c r="P5" s="171">
        <f>O5/L5</f>
        <v>4.7619047619047616E-2</v>
      </c>
      <c r="Q5" s="172">
        <v>0.5</v>
      </c>
      <c r="R5" s="173">
        <f>L5*Q5</f>
        <v>315000</v>
      </c>
      <c r="S5" s="174">
        <f>Q5*O5</f>
        <v>15000</v>
      </c>
    </row>
    <row r="6" spans="1:19" x14ac:dyDescent="0.15">
      <c r="A6" s="19">
        <v>2</v>
      </c>
      <c r="B6" s="175" t="s">
        <v>71</v>
      </c>
      <c r="C6" s="176" t="s">
        <v>67</v>
      </c>
      <c r="D6" s="177" t="s">
        <v>31</v>
      </c>
      <c r="E6" s="178" t="s">
        <v>48</v>
      </c>
      <c r="F6" s="179" t="s">
        <v>49</v>
      </c>
      <c r="G6" s="180" t="s">
        <v>32</v>
      </c>
      <c r="H6" s="181" t="s">
        <v>49</v>
      </c>
      <c r="I6" s="182" t="s">
        <v>33</v>
      </c>
      <c r="J6" s="183" t="s">
        <v>69</v>
      </c>
      <c r="K6" s="184" t="s">
        <v>34</v>
      </c>
      <c r="L6" s="185">
        <v>570000</v>
      </c>
      <c r="M6" s="186">
        <v>540000</v>
      </c>
      <c r="N6" s="187">
        <v>0</v>
      </c>
      <c r="O6" s="188">
        <f>L6-M6-N6</f>
        <v>30000</v>
      </c>
      <c r="P6" s="189">
        <f>O6/L6</f>
        <v>5.2631578947368418E-2</v>
      </c>
      <c r="Q6" s="190">
        <v>1</v>
      </c>
      <c r="R6" s="191">
        <f>L6*Q6</f>
        <v>570000</v>
      </c>
      <c r="S6" s="192">
        <f>Q6*O6</f>
        <v>30000</v>
      </c>
    </row>
    <row r="7" spans="1:19" x14ac:dyDescent="0.15">
      <c r="A7" s="19">
        <v>3</v>
      </c>
      <c r="B7" s="193" t="s">
        <v>71</v>
      </c>
      <c r="C7" s="194" t="s">
        <v>97</v>
      </c>
      <c r="D7" s="195"/>
      <c r="E7" s="196" t="s">
        <v>40</v>
      </c>
      <c r="F7" s="197" t="s">
        <v>41</v>
      </c>
      <c r="G7" s="198" t="s">
        <v>33</v>
      </c>
      <c r="H7" s="199" t="s">
        <v>37</v>
      </c>
      <c r="I7" s="200" t="s">
        <v>29</v>
      </c>
      <c r="J7" s="201" t="s">
        <v>70</v>
      </c>
      <c r="K7" s="202" t="s">
        <v>35</v>
      </c>
      <c r="L7" s="203">
        <v>1200000</v>
      </c>
      <c r="M7" s="204">
        <v>1140000</v>
      </c>
      <c r="N7" s="205">
        <v>0</v>
      </c>
      <c r="O7" s="206">
        <f>L7-M7-N7</f>
        <v>60000</v>
      </c>
      <c r="P7" s="207">
        <f>O7/L7</f>
        <v>0.05</v>
      </c>
      <c r="Q7" s="208">
        <v>1.5</v>
      </c>
      <c r="R7" s="209">
        <f>L7*Q7</f>
        <v>1800000</v>
      </c>
      <c r="S7" s="210">
        <f>Q7*O7</f>
        <v>90000</v>
      </c>
    </row>
    <row r="8" spans="1:19" x14ac:dyDescent="0.15">
      <c r="A8" s="19"/>
      <c r="B8" s="12"/>
      <c r="C8" s="12"/>
      <c r="D8" s="12"/>
      <c r="E8" s="12"/>
      <c r="F8" s="12"/>
      <c r="G8" s="12"/>
      <c r="H8" s="12"/>
      <c r="I8" s="12"/>
      <c r="J8" s="12"/>
      <c r="K8" s="215" t="s">
        <v>19</v>
      </c>
      <c r="L8" s="211">
        <f>SUM(L5:L7)-SUM(L7,0)</f>
        <v>1200000</v>
      </c>
      <c r="M8" s="212">
        <f>SUM(M5:M7)-SUM(M7,0)</f>
        <v>1140000</v>
      </c>
      <c r="N8" s="216">
        <f>SUM(N5:N7)-SUM(N7,0)</f>
        <v>0</v>
      </c>
      <c r="O8" s="217">
        <f>SUM(O5:O7)-SUM(O7,0)</f>
        <v>60000</v>
      </c>
      <c r="P8" s="218">
        <f>O8/L8</f>
        <v>0.05</v>
      </c>
      <c r="Q8" s="16">
        <f>SUM(Q5:Q7)-SUM(Q7,0)</f>
        <v>1.5</v>
      </c>
      <c r="R8" s="17">
        <f>SUM(R5:R7)-SUM(R7,0)</f>
        <v>885000</v>
      </c>
      <c r="S8" s="17">
        <f>SUM(S5:S7)-SUM(S7,0)</f>
        <v>45000</v>
      </c>
    </row>
    <row r="9" spans="1:19" x14ac:dyDescent="0.15">
      <c r="A9" s="19"/>
      <c r="B9" s="12"/>
      <c r="C9" s="12"/>
      <c r="D9" s="12"/>
      <c r="E9" s="12"/>
      <c r="F9" s="12"/>
      <c r="G9" s="12"/>
      <c r="H9" s="12"/>
      <c r="I9" s="12"/>
      <c r="J9" s="12"/>
      <c r="K9" s="12"/>
      <c r="L9" s="213" t="s">
        <v>75</v>
      </c>
      <c r="M9" s="214" t="s">
        <v>75</v>
      </c>
      <c r="N9" s="18"/>
      <c r="O9" s="18"/>
      <c r="P9" s="19"/>
      <c r="Q9" s="19"/>
      <c r="R9" s="19"/>
      <c r="S9" s="19"/>
    </row>
    <row r="10" spans="1:19" x14ac:dyDescent="0.15">
      <c r="A10" s="19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219" t="s">
        <v>20</v>
      </c>
      <c r="M10" s="220">
        <f>R8/Q8</f>
        <v>590000</v>
      </c>
      <c r="N10" s="18"/>
      <c r="O10" s="18"/>
      <c r="P10" s="19"/>
      <c r="Q10" s="19"/>
      <c r="R10" s="19"/>
      <c r="S10" s="19"/>
    </row>
    <row r="11" spans="1:19" x14ac:dyDescent="0.15">
      <c r="A11" s="19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221" t="s">
        <v>21</v>
      </c>
      <c r="M11" s="222">
        <f>S8/Q8</f>
        <v>30000</v>
      </c>
      <c r="N11" s="18"/>
      <c r="O11" s="18"/>
      <c r="P11" s="19"/>
      <c r="Q11" s="19"/>
      <c r="R11" s="19"/>
      <c r="S11" s="19"/>
    </row>
    <row r="12" spans="1:19" x14ac:dyDescent="0.15">
      <c r="A12" s="19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223" t="s">
        <v>22</v>
      </c>
      <c r="M12" s="224">
        <v>2</v>
      </c>
      <c r="N12" s="18"/>
      <c r="O12" s="18"/>
      <c r="P12" s="19"/>
      <c r="Q12" s="19"/>
      <c r="R12" s="19"/>
      <c r="S12" s="19"/>
    </row>
    <row r="13" spans="1:19" x14ac:dyDescent="0.15">
      <c r="A13" s="19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225" t="s">
        <v>52</v>
      </c>
      <c r="M13" s="226" t="s">
        <v>95</v>
      </c>
      <c r="N13" s="18"/>
      <c r="O13" s="18"/>
      <c r="P13" s="19"/>
      <c r="Q13" s="19"/>
      <c r="R13" s="19"/>
      <c r="S13" s="19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S13"/>
  <sheetViews>
    <sheetView workbookViewId="0">
      <selection activeCell="B5" sqref="B5:C7"/>
    </sheetView>
  </sheetViews>
  <sheetFormatPr defaultRowHeight="13.5" x14ac:dyDescent="0.15"/>
  <cols>
    <col min="18" max="18" width="12" bestFit="1" customWidth="1"/>
    <col min="19" max="19" width="10.25" bestFit="1" customWidth="1"/>
  </cols>
  <sheetData>
    <row r="4" spans="1:19" x14ac:dyDescent="0.15">
      <c r="A4" s="6"/>
      <c r="B4" s="7" t="s">
        <v>0</v>
      </c>
      <c r="C4" s="7" t="s">
        <v>1</v>
      </c>
      <c r="D4" s="7" t="s">
        <v>56</v>
      </c>
      <c r="E4" s="7" t="s">
        <v>2</v>
      </c>
      <c r="F4" s="7" t="s">
        <v>3</v>
      </c>
      <c r="G4" s="7" t="s">
        <v>4</v>
      </c>
      <c r="H4" s="7" t="s">
        <v>5</v>
      </c>
      <c r="I4" s="7" t="s">
        <v>6</v>
      </c>
      <c r="J4" s="7" t="s">
        <v>7</v>
      </c>
      <c r="K4" s="7" t="s">
        <v>36</v>
      </c>
      <c r="L4" s="8" t="s">
        <v>8</v>
      </c>
      <c r="M4" s="8" t="s">
        <v>9</v>
      </c>
      <c r="N4" s="8" t="s">
        <v>10</v>
      </c>
      <c r="O4" s="8" t="s">
        <v>11</v>
      </c>
      <c r="P4" s="8" t="s">
        <v>12</v>
      </c>
      <c r="Q4" s="9" t="s">
        <v>25</v>
      </c>
      <c r="R4" s="10" t="s">
        <v>26</v>
      </c>
      <c r="S4" s="11" t="s">
        <v>27</v>
      </c>
    </row>
    <row r="5" spans="1:19" x14ac:dyDescent="0.15">
      <c r="A5" s="19">
        <v>1</v>
      </c>
      <c r="B5" s="227" t="s">
        <v>89</v>
      </c>
      <c r="C5" s="228" t="s">
        <v>98</v>
      </c>
      <c r="D5" s="229" t="s">
        <v>28</v>
      </c>
      <c r="E5" s="230"/>
      <c r="F5" s="231" t="s">
        <v>49</v>
      </c>
      <c r="G5" s="232" t="s">
        <v>29</v>
      </c>
      <c r="H5" s="233" t="s">
        <v>37</v>
      </c>
      <c r="I5" s="234" t="s">
        <v>30</v>
      </c>
      <c r="J5" s="235" t="s">
        <v>43</v>
      </c>
      <c r="K5" s="236" t="s">
        <v>44</v>
      </c>
      <c r="L5" s="237">
        <v>630000</v>
      </c>
      <c r="M5" s="238">
        <v>600000</v>
      </c>
      <c r="N5" s="239">
        <v>0</v>
      </c>
      <c r="O5" s="240">
        <f>L5-M5-N5</f>
        <v>30000</v>
      </c>
      <c r="P5" s="241">
        <f>O5/L5</f>
        <v>4.7619047619047616E-2</v>
      </c>
      <c r="Q5" s="242">
        <v>0.5</v>
      </c>
      <c r="R5" s="243">
        <f>L5*Q5</f>
        <v>315000</v>
      </c>
      <c r="S5" s="244">
        <f>Q5*O5</f>
        <v>15000</v>
      </c>
    </row>
    <row r="6" spans="1:19" x14ac:dyDescent="0.15">
      <c r="A6" s="19">
        <v>2</v>
      </c>
      <c r="B6" s="245" t="s">
        <v>91</v>
      </c>
      <c r="C6" s="246" t="s">
        <v>99</v>
      </c>
      <c r="D6" s="247" t="s">
        <v>31</v>
      </c>
      <c r="E6" s="248" t="s">
        <v>48</v>
      </c>
      <c r="F6" s="249" t="s">
        <v>49</v>
      </c>
      <c r="G6" s="250" t="s">
        <v>32</v>
      </c>
      <c r="H6" s="251" t="s">
        <v>49</v>
      </c>
      <c r="I6" s="252" t="s">
        <v>33</v>
      </c>
      <c r="J6" s="253" t="s">
        <v>45</v>
      </c>
      <c r="K6" s="254" t="s">
        <v>34</v>
      </c>
      <c r="L6" s="255">
        <v>570000</v>
      </c>
      <c r="M6" s="256">
        <v>540000</v>
      </c>
      <c r="N6" s="257">
        <v>0</v>
      </c>
      <c r="O6" s="258">
        <f>L6-M6-N6</f>
        <v>30000</v>
      </c>
      <c r="P6" s="259">
        <f>O6/L6</f>
        <v>5.2631578947368418E-2</v>
      </c>
      <c r="Q6" s="260">
        <v>1</v>
      </c>
      <c r="R6" s="261">
        <f>L6*Q6</f>
        <v>570000</v>
      </c>
      <c r="S6" s="262">
        <f>Q6*O6</f>
        <v>30000</v>
      </c>
    </row>
    <row r="7" spans="1:19" x14ac:dyDescent="0.15">
      <c r="A7" s="19">
        <v>3</v>
      </c>
      <c r="B7" s="263" t="s">
        <v>93</v>
      </c>
      <c r="C7" s="264" t="s">
        <v>100</v>
      </c>
      <c r="D7" s="265"/>
      <c r="E7" s="266" t="s">
        <v>40</v>
      </c>
      <c r="F7" s="267" t="s">
        <v>41</v>
      </c>
      <c r="G7" s="268" t="s">
        <v>33</v>
      </c>
      <c r="H7" s="269" t="s">
        <v>37</v>
      </c>
      <c r="I7" s="270" t="s">
        <v>29</v>
      </c>
      <c r="J7" s="271" t="s">
        <v>46</v>
      </c>
      <c r="K7" s="272" t="s">
        <v>35</v>
      </c>
      <c r="L7" s="273">
        <v>1200000</v>
      </c>
      <c r="M7" s="274">
        <v>1140000</v>
      </c>
      <c r="N7" s="275">
        <v>0</v>
      </c>
      <c r="O7" s="276">
        <f>L7-M7-N7</f>
        <v>60000</v>
      </c>
      <c r="P7" s="277">
        <f>O7/L7</f>
        <v>0.05</v>
      </c>
      <c r="Q7" s="278">
        <v>1.5</v>
      </c>
      <c r="R7" s="279">
        <f>L7*Q7</f>
        <v>1800000</v>
      </c>
      <c r="S7" s="280">
        <f>Q7*O7</f>
        <v>90000</v>
      </c>
    </row>
    <row r="8" spans="1:19" x14ac:dyDescent="0.15">
      <c r="A8" s="19"/>
      <c r="B8" s="12"/>
      <c r="C8" s="12"/>
      <c r="D8" s="12"/>
      <c r="E8" s="12"/>
      <c r="F8" s="12"/>
      <c r="G8" s="12"/>
      <c r="H8" s="12"/>
      <c r="I8" s="12"/>
      <c r="J8" s="12"/>
      <c r="K8" s="285" t="s">
        <v>19</v>
      </c>
      <c r="L8" s="281">
        <f>SUM(L5:L7)-SUM(L5,0)</f>
        <v>1770000</v>
      </c>
      <c r="M8" s="282">
        <f>SUM(M5:M7)-SUM(M5,0)</f>
        <v>1680000</v>
      </c>
      <c r="N8" s="286">
        <f>SUM(N5:N7)-SUM(N5,0)</f>
        <v>0</v>
      </c>
      <c r="O8" s="287">
        <f>SUM(O5:O7)-SUM(O5,0)</f>
        <v>90000</v>
      </c>
      <c r="P8" s="288">
        <f>O8/L8</f>
        <v>5.0847457627118647E-2</v>
      </c>
      <c r="Q8" s="16">
        <f>SUM(Q5:Q7)-SUM(Q5,0)</f>
        <v>2.5</v>
      </c>
      <c r="R8" s="17">
        <f>SUM(R5:R7)-SUM(R5,0)</f>
        <v>2370000</v>
      </c>
      <c r="S8" s="17">
        <f>SUM(S5:S7)-SUM(S5,0)</f>
        <v>120000</v>
      </c>
    </row>
    <row r="9" spans="1:19" x14ac:dyDescent="0.15">
      <c r="A9" s="19"/>
      <c r="B9" s="12"/>
      <c r="C9" s="12"/>
      <c r="D9" s="12"/>
      <c r="E9" s="12"/>
      <c r="F9" s="12"/>
      <c r="G9" s="12"/>
      <c r="H9" s="12"/>
      <c r="I9" s="12"/>
      <c r="J9" s="12"/>
      <c r="K9" s="12"/>
      <c r="L9" s="283" t="s">
        <v>75</v>
      </c>
      <c r="M9" s="284" t="s">
        <v>75</v>
      </c>
      <c r="N9" s="18"/>
      <c r="O9" s="18"/>
      <c r="P9" s="19"/>
      <c r="Q9" s="19"/>
      <c r="R9" s="19"/>
      <c r="S9" s="19"/>
    </row>
    <row r="10" spans="1:19" x14ac:dyDescent="0.15">
      <c r="A10" s="19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289" t="s">
        <v>20</v>
      </c>
      <c r="M10" s="290">
        <f>R8/Q8</f>
        <v>948000</v>
      </c>
      <c r="N10" s="18"/>
      <c r="O10" s="18"/>
      <c r="P10" s="19"/>
      <c r="Q10" s="19"/>
      <c r="R10" s="19"/>
      <c r="S10" s="19"/>
    </row>
    <row r="11" spans="1:19" x14ac:dyDescent="0.15">
      <c r="A11" s="19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291" t="s">
        <v>21</v>
      </c>
      <c r="M11" s="292">
        <f>S8/Q8</f>
        <v>48000</v>
      </c>
      <c r="N11" s="18"/>
      <c r="O11" s="18"/>
      <c r="P11" s="19"/>
      <c r="Q11" s="19"/>
      <c r="R11" s="19"/>
      <c r="S11" s="19"/>
    </row>
    <row r="12" spans="1:19" x14ac:dyDescent="0.15">
      <c r="A12" s="19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293" t="s">
        <v>22</v>
      </c>
      <c r="M12" s="294">
        <v>2</v>
      </c>
      <c r="N12" s="18"/>
      <c r="O12" s="18"/>
      <c r="P12" s="19"/>
      <c r="Q12" s="19"/>
      <c r="R12" s="19"/>
      <c r="S12" s="19"/>
    </row>
    <row r="13" spans="1:19" x14ac:dyDescent="0.15">
      <c r="A13" s="19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295" t="s">
        <v>52</v>
      </c>
      <c r="M13" s="296" t="s">
        <v>95</v>
      </c>
      <c r="N13" s="18"/>
      <c r="O13" s="18"/>
      <c r="P13" s="19"/>
      <c r="Q13" s="19"/>
      <c r="R13" s="19"/>
      <c r="S13" s="19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S13"/>
  <sheetViews>
    <sheetView workbookViewId="0">
      <selection activeCell="B5" sqref="B5:C7"/>
    </sheetView>
  </sheetViews>
  <sheetFormatPr defaultRowHeight="13.5" x14ac:dyDescent="0.15"/>
  <sheetData>
    <row r="4" spans="1:19" x14ac:dyDescent="0.15">
      <c r="A4" s="6"/>
      <c r="B4" s="7" t="s">
        <v>0</v>
      </c>
      <c r="C4" s="7" t="s">
        <v>1</v>
      </c>
      <c r="D4" s="7" t="s">
        <v>56</v>
      </c>
      <c r="E4" s="7" t="s">
        <v>2</v>
      </c>
      <c r="F4" s="7" t="s">
        <v>3</v>
      </c>
      <c r="G4" s="7" t="s">
        <v>4</v>
      </c>
      <c r="H4" s="7" t="s">
        <v>5</v>
      </c>
      <c r="I4" s="7" t="s">
        <v>6</v>
      </c>
      <c r="J4" s="7" t="s">
        <v>7</v>
      </c>
      <c r="K4" s="7" t="s">
        <v>36</v>
      </c>
      <c r="L4" s="8" t="s">
        <v>8</v>
      </c>
      <c r="M4" s="8" t="s">
        <v>9</v>
      </c>
      <c r="N4" s="8" t="s">
        <v>10</v>
      </c>
      <c r="O4" s="8" t="s">
        <v>11</v>
      </c>
      <c r="P4" s="8" t="s">
        <v>12</v>
      </c>
      <c r="Q4" s="9" t="s">
        <v>25</v>
      </c>
      <c r="R4" s="10" t="s">
        <v>26</v>
      </c>
      <c r="S4" s="11" t="s">
        <v>27</v>
      </c>
    </row>
    <row r="5" spans="1:19" x14ac:dyDescent="0.15">
      <c r="A5" s="19">
        <v>1</v>
      </c>
      <c r="B5" s="297" t="s">
        <v>89</v>
      </c>
      <c r="C5" s="298" t="s">
        <v>101</v>
      </c>
      <c r="D5" s="299" t="s">
        <v>28</v>
      </c>
      <c r="E5" s="300"/>
      <c r="F5" s="301" t="s">
        <v>49</v>
      </c>
      <c r="G5" s="302" t="s">
        <v>29</v>
      </c>
      <c r="H5" s="303" t="s">
        <v>37</v>
      </c>
      <c r="I5" s="304" t="s">
        <v>30</v>
      </c>
      <c r="J5" s="305" t="s">
        <v>47</v>
      </c>
      <c r="K5" s="306" t="s">
        <v>44</v>
      </c>
      <c r="L5" s="307">
        <v>630000</v>
      </c>
      <c r="M5" s="308">
        <v>600000</v>
      </c>
      <c r="N5" s="309">
        <v>0</v>
      </c>
      <c r="O5" s="310">
        <f>L5-M5-N5</f>
        <v>30000</v>
      </c>
      <c r="P5" s="311">
        <f>O5/L5</f>
        <v>4.7619047619047616E-2</v>
      </c>
      <c r="Q5" s="312">
        <v>0.5</v>
      </c>
      <c r="R5" s="313">
        <f>L5*Q5</f>
        <v>315000</v>
      </c>
      <c r="S5" s="314">
        <f>Q5*O5</f>
        <v>15000</v>
      </c>
    </row>
    <row r="6" spans="1:19" x14ac:dyDescent="0.15">
      <c r="A6" s="19">
        <v>2</v>
      </c>
      <c r="B6" s="315" t="s">
        <v>91</v>
      </c>
      <c r="C6" s="316" t="s">
        <v>102</v>
      </c>
      <c r="D6" s="317" t="s">
        <v>31</v>
      </c>
      <c r="E6" s="318" t="s">
        <v>48</v>
      </c>
      <c r="F6" s="319" t="s">
        <v>49</v>
      </c>
      <c r="G6" s="320" t="s">
        <v>32</v>
      </c>
      <c r="H6" s="321" t="s">
        <v>49</v>
      </c>
      <c r="I6" s="322" t="s">
        <v>33</v>
      </c>
      <c r="J6" s="323" t="s">
        <v>50</v>
      </c>
      <c r="K6" s="324" t="s">
        <v>34</v>
      </c>
      <c r="L6" s="325">
        <v>570000</v>
      </c>
      <c r="M6" s="326">
        <v>540000</v>
      </c>
      <c r="N6" s="327">
        <v>0</v>
      </c>
      <c r="O6" s="328">
        <f>L6-M6-N6</f>
        <v>30000</v>
      </c>
      <c r="P6" s="329">
        <f>O6/L6</f>
        <v>5.2631578947368418E-2</v>
      </c>
      <c r="Q6" s="330">
        <v>1</v>
      </c>
      <c r="R6" s="331">
        <f>L6*Q6</f>
        <v>570000</v>
      </c>
      <c r="S6" s="332">
        <f>Q6*O6</f>
        <v>30000</v>
      </c>
    </row>
    <row r="7" spans="1:19" x14ac:dyDescent="0.15">
      <c r="A7" s="19">
        <v>3</v>
      </c>
      <c r="B7" s="333" t="s">
        <v>93</v>
      </c>
      <c r="C7" s="334" t="s">
        <v>103</v>
      </c>
      <c r="D7" s="335"/>
      <c r="E7" s="336" t="s">
        <v>40</v>
      </c>
      <c r="F7" s="337" t="s">
        <v>41</v>
      </c>
      <c r="G7" s="338" t="s">
        <v>33</v>
      </c>
      <c r="H7" s="339" t="s">
        <v>37</v>
      </c>
      <c r="I7" s="340" t="s">
        <v>29</v>
      </c>
      <c r="J7" s="341" t="s">
        <v>51</v>
      </c>
      <c r="K7" s="342" t="s">
        <v>35</v>
      </c>
      <c r="L7" s="343">
        <v>1200000</v>
      </c>
      <c r="M7" s="344">
        <v>1140000</v>
      </c>
      <c r="N7" s="345">
        <v>0</v>
      </c>
      <c r="O7" s="346">
        <f>L7-M7-N7</f>
        <v>60000</v>
      </c>
      <c r="P7" s="347">
        <f>O7/L7</f>
        <v>0.05</v>
      </c>
      <c r="Q7" s="348">
        <v>1.5</v>
      </c>
      <c r="R7" s="349">
        <f>L7*Q7</f>
        <v>1800000</v>
      </c>
      <c r="S7" s="350">
        <f>Q7*O7</f>
        <v>90000</v>
      </c>
    </row>
    <row r="8" spans="1:19" x14ac:dyDescent="0.15">
      <c r="A8" s="19"/>
      <c r="B8" s="12"/>
      <c r="C8" s="12"/>
      <c r="D8" s="12"/>
      <c r="E8" s="12"/>
      <c r="F8" s="12"/>
      <c r="G8" s="12"/>
      <c r="H8" s="12"/>
      <c r="I8" s="12"/>
      <c r="J8" s="12"/>
      <c r="K8" s="355" t="s">
        <v>19</v>
      </c>
      <c r="L8" s="351">
        <f>SUM(L5:L7)-SUM(L6,L7,0)</f>
        <v>630000</v>
      </c>
      <c r="M8" s="352">
        <f>SUM(M5:M7)-SUM(M6,M7,0)</f>
        <v>600000</v>
      </c>
      <c r="N8" s="356">
        <f>SUM(N5:N7)-SUM(N6,N7,0)</f>
        <v>0</v>
      </c>
      <c r="O8" s="357">
        <f>SUM(O5:O7)-SUM(O6,O7,0)</f>
        <v>30000</v>
      </c>
      <c r="P8" s="358">
        <f>O8/L8</f>
        <v>4.7619047619047616E-2</v>
      </c>
      <c r="Q8" s="16">
        <f>SUM(Q5:Q7)-SUM(Q6,Q7,0)</f>
        <v>0.5</v>
      </c>
      <c r="R8" s="17">
        <f>SUM(R5:R7)-SUM(R6,R7,0)</f>
        <v>315000</v>
      </c>
      <c r="S8" s="17">
        <f>SUM(S5:S7)-SUM(S6,S7,0)</f>
        <v>15000</v>
      </c>
    </row>
    <row r="9" spans="1:19" x14ac:dyDescent="0.15">
      <c r="A9" s="19"/>
      <c r="B9" s="12"/>
      <c r="C9" s="12"/>
      <c r="D9" s="12"/>
      <c r="E9" s="12"/>
      <c r="F9" s="12"/>
      <c r="G9" s="12"/>
      <c r="H9" s="12"/>
      <c r="I9" s="12"/>
      <c r="J9" s="12"/>
      <c r="K9" s="12"/>
      <c r="L9" s="353" t="s">
        <v>75</v>
      </c>
      <c r="M9" s="354" t="s">
        <v>75</v>
      </c>
      <c r="N9" s="18"/>
      <c r="O9" s="18"/>
      <c r="P9" s="19"/>
      <c r="Q9" s="19"/>
      <c r="R9" s="19"/>
      <c r="S9" s="19"/>
    </row>
    <row r="10" spans="1:19" x14ac:dyDescent="0.15">
      <c r="A10" s="19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359" t="s">
        <v>20</v>
      </c>
      <c r="M10" s="360">
        <f>R8/Q8</f>
        <v>630000</v>
      </c>
      <c r="N10" s="18"/>
      <c r="O10" s="18"/>
      <c r="P10" s="19"/>
      <c r="Q10" s="19"/>
      <c r="R10" s="19"/>
      <c r="S10" s="19"/>
    </row>
    <row r="11" spans="1:19" x14ac:dyDescent="0.15">
      <c r="A11" s="19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361" t="s">
        <v>21</v>
      </c>
      <c r="M11" s="362">
        <f>S8/Q8</f>
        <v>30000</v>
      </c>
      <c r="N11" s="18"/>
      <c r="O11" s="18"/>
      <c r="P11" s="19"/>
      <c r="Q11" s="19"/>
      <c r="R11" s="19"/>
      <c r="S11" s="19"/>
    </row>
    <row r="12" spans="1:19" x14ac:dyDescent="0.15">
      <c r="A12" s="19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363" t="s">
        <v>22</v>
      </c>
      <c r="M12" s="364">
        <v>1</v>
      </c>
      <c r="N12" s="18"/>
      <c r="O12" s="18"/>
      <c r="P12" s="19"/>
      <c r="Q12" s="19"/>
      <c r="R12" s="19"/>
      <c r="S12" s="19"/>
    </row>
    <row r="13" spans="1:19" x14ac:dyDescent="0.15">
      <c r="A13" s="19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365" t="s">
        <v>52</v>
      </c>
      <c r="M13" s="366" t="s">
        <v>95</v>
      </c>
      <c r="N13" s="18"/>
      <c r="O13" s="18"/>
      <c r="P13" s="19"/>
      <c r="Q13" s="19"/>
      <c r="R13" s="19"/>
      <c r="S13" s="19"/>
    </row>
  </sheetData>
  <phoneticPr fontId="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S13"/>
  <sheetViews>
    <sheetView workbookViewId="0">
      <selection activeCell="B5" sqref="B5:C7"/>
    </sheetView>
  </sheetViews>
  <sheetFormatPr defaultRowHeight="13.5" x14ac:dyDescent="0.15"/>
  <sheetData>
    <row r="4" spans="1:19" x14ac:dyDescent="0.15">
      <c r="A4" s="6"/>
      <c r="B4" s="7" t="s">
        <v>0</v>
      </c>
      <c r="C4" s="7" t="s">
        <v>1</v>
      </c>
      <c r="D4" s="7" t="s">
        <v>56</v>
      </c>
      <c r="E4" s="7" t="s">
        <v>2</v>
      </c>
      <c r="F4" s="7" t="s">
        <v>3</v>
      </c>
      <c r="G4" s="7" t="s">
        <v>4</v>
      </c>
      <c r="H4" s="7" t="s">
        <v>5</v>
      </c>
      <c r="I4" s="7" t="s">
        <v>6</v>
      </c>
      <c r="J4" s="7" t="s">
        <v>7</v>
      </c>
      <c r="K4" s="7" t="s">
        <v>36</v>
      </c>
      <c r="L4" s="8" t="s">
        <v>8</v>
      </c>
      <c r="M4" s="8" t="s">
        <v>9</v>
      </c>
      <c r="N4" s="8" t="s">
        <v>10</v>
      </c>
      <c r="O4" s="8" t="s">
        <v>11</v>
      </c>
      <c r="P4" s="8" t="s">
        <v>12</v>
      </c>
      <c r="Q4" s="9" t="s">
        <v>25</v>
      </c>
      <c r="R4" s="10" t="s">
        <v>26</v>
      </c>
      <c r="S4" s="11" t="s">
        <v>27</v>
      </c>
    </row>
    <row r="5" spans="1:19" x14ac:dyDescent="0.15">
      <c r="A5" s="19">
        <v>1</v>
      </c>
      <c r="B5" s="367" t="s">
        <v>89</v>
      </c>
      <c r="C5" s="368" t="s">
        <v>104</v>
      </c>
      <c r="D5" s="369" t="s">
        <v>28</v>
      </c>
      <c r="E5" s="370"/>
      <c r="F5" s="371" t="s">
        <v>49</v>
      </c>
      <c r="G5" s="372" t="s">
        <v>29</v>
      </c>
      <c r="H5" s="373" t="s">
        <v>37</v>
      </c>
      <c r="I5" s="374" t="s">
        <v>30</v>
      </c>
      <c r="J5" s="375" t="s">
        <v>53</v>
      </c>
      <c r="K5" s="376" t="s">
        <v>44</v>
      </c>
      <c r="L5" s="377">
        <v>630000</v>
      </c>
      <c r="M5" s="378">
        <v>600000</v>
      </c>
      <c r="N5" s="379">
        <v>0</v>
      </c>
      <c r="O5" s="380">
        <f>L5-M5-N5</f>
        <v>30000</v>
      </c>
      <c r="P5" s="381">
        <f>O5/L5</f>
        <v>4.7619047619047616E-2</v>
      </c>
      <c r="Q5" s="382">
        <v>0.5</v>
      </c>
      <c r="R5" s="383">
        <f>L5*Q5</f>
        <v>315000</v>
      </c>
      <c r="S5" s="384">
        <f>Q5*O5</f>
        <v>15000</v>
      </c>
    </row>
    <row r="6" spans="1:19" x14ac:dyDescent="0.15">
      <c r="A6" s="19">
        <v>2</v>
      </c>
      <c r="B6" s="385" t="s">
        <v>91</v>
      </c>
      <c r="C6" s="386" t="s">
        <v>105</v>
      </c>
      <c r="D6" s="387" t="s">
        <v>31</v>
      </c>
      <c r="E6" s="388" t="s">
        <v>48</v>
      </c>
      <c r="F6" s="389" t="s">
        <v>49</v>
      </c>
      <c r="G6" s="390" t="s">
        <v>32</v>
      </c>
      <c r="H6" s="391" t="s">
        <v>49</v>
      </c>
      <c r="I6" s="392" t="s">
        <v>33</v>
      </c>
      <c r="J6" s="393" t="s">
        <v>54</v>
      </c>
      <c r="K6" s="394" t="s">
        <v>34</v>
      </c>
      <c r="L6" s="395">
        <v>570000</v>
      </c>
      <c r="M6" s="396">
        <v>540000</v>
      </c>
      <c r="N6" s="397">
        <v>0</v>
      </c>
      <c r="O6" s="398">
        <f>L6-M6-N6</f>
        <v>30000</v>
      </c>
      <c r="P6" s="399">
        <f>O6/L6</f>
        <v>5.2631578947368418E-2</v>
      </c>
      <c r="Q6" s="400">
        <v>1</v>
      </c>
      <c r="R6" s="401">
        <f>L6*Q6</f>
        <v>570000</v>
      </c>
      <c r="S6" s="402">
        <f>Q6*O6</f>
        <v>30000</v>
      </c>
    </row>
    <row r="7" spans="1:19" x14ac:dyDescent="0.15">
      <c r="A7" s="19">
        <v>3</v>
      </c>
      <c r="B7" s="403" t="s">
        <v>93</v>
      </c>
      <c r="C7" s="404" t="s">
        <v>106</v>
      </c>
      <c r="D7" s="405"/>
      <c r="E7" s="406" t="s">
        <v>40</v>
      </c>
      <c r="F7" s="407" t="s">
        <v>41</v>
      </c>
      <c r="G7" s="408" t="s">
        <v>33</v>
      </c>
      <c r="H7" s="409" t="s">
        <v>37</v>
      </c>
      <c r="I7" s="410" t="s">
        <v>29</v>
      </c>
      <c r="J7" s="411" t="s">
        <v>55</v>
      </c>
      <c r="K7" s="412" t="s">
        <v>35</v>
      </c>
      <c r="L7" s="413">
        <v>1200000</v>
      </c>
      <c r="M7" s="414">
        <v>1140000</v>
      </c>
      <c r="N7" s="415">
        <v>0</v>
      </c>
      <c r="O7" s="416">
        <f>L7-M7-N7</f>
        <v>60000</v>
      </c>
      <c r="P7" s="417">
        <f>O7/L7</f>
        <v>0.05</v>
      </c>
      <c r="Q7" s="418">
        <v>1.5</v>
      </c>
      <c r="R7" s="419">
        <f>L7*Q7</f>
        <v>1800000</v>
      </c>
      <c r="S7" s="420">
        <f>Q7*O7</f>
        <v>90000</v>
      </c>
    </row>
    <row r="8" spans="1:19" x14ac:dyDescent="0.15">
      <c r="A8" s="19"/>
      <c r="B8" s="12"/>
      <c r="C8" s="12"/>
      <c r="D8" s="12"/>
      <c r="E8" s="12"/>
      <c r="F8" s="12"/>
      <c r="G8" s="12"/>
      <c r="H8" s="12"/>
      <c r="I8" s="12"/>
      <c r="J8" s="12"/>
      <c r="K8" s="425" t="s">
        <v>19</v>
      </c>
      <c r="L8" s="421">
        <f>SUM(L5:L7)-SUM(L5,L6,0)</f>
        <v>1200000</v>
      </c>
      <c r="M8" s="422">
        <f>SUM(M5:M7)-SUM(M5,M6,0)</f>
        <v>1140000</v>
      </c>
      <c r="N8" s="426">
        <f>SUM(N5:N7)-SUM(N5,N6,0)</f>
        <v>0</v>
      </c>
      <c r="O8" s="427">
        <f>SUM(O5:O7)-SUM(O5,O6,0)</f>
        <v>60000</v>
      </c>
      <c r="P8" s="428">
        <f>O8/L8</f>
        <v>0.05</v>
      </c>
      <c r="Q8" s="16">
        <f>SUM(Q5:Q7)-SUM(Q5,Q6,0)</f>
        <v>1.5</v>
      </c>
      <c r="R8" s="17">
        <f>SUM(R5:R7)-SUM(R5,R6,0)</f>
        <v>1800000</v>
      </c>
      <c r="S8" s="17">
        <f>SUM(S5:S7)-SUM(S5,S6,0)</f>
        <v>90000</v>
      </c>
    </row>
    <row r="9" spans="1:19" x14ac:dyDescent="0.15">
      <c r="A9" s="19"/>
      <c r="B9" s="12"/>
      <c r="C9" s="12"/>
      <c r="D9" s="12"/>
      <c r="E9" s="12"/>
      <c r="F9" s="12"/>
      <c r="G9" s="12"/>
      <c r="H9" s="12"/>
      <c r="I9" s="12"/>
      <c r="J9" s="12"/>
      <c r="K9" s="12"/>
      <c r="L9" s="423" t="s">
        <v>75</v>
      </c>
      <c r="M9" s="424" t="s">
        <v>75</v>
      </c>
      <c r="N9" s="18"/>
      <c r="O9" s="18"/>
      <c r="P9" s="19"/>
      <c r="Q9" s="19"/>
      <c r="R9" s="19"/>
      <c r="S9" s="19"/>
    </row>
    <row r="10" spans="1:19" x14ac:dyDescent="0.15">
      <c r="A10" s="19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429" t="s">
        <v>20</v>
      </c>
      <c r="M10" s="430">
        <f>R8/Q8</f>
        <v>1200000</v>
      </c>
      <c r="N10" s="18"/>
      <c r="O10" s="18"/>
      <c r="P10" s="19"/>
      <c r="Q10" s="19"/>
      <c r="R10" s="19"/>
      <c r="S10" s="19"/>
    </row>
    <row r="11" spans="1:19" x14ac:dyDescent="0.15">
      <c r="A11" s="19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431" t="s">
        <v>21</v>
      </c>
      <c r="M11" s="432">
        <f>S8/Q8</f>
        <v>60000</v>
      </c>
      <c r="N11" s="18"/>
      <c r="O11" s="18"/>
      <c r="P11" s="19"/>
      <c r="Q11" s="19"/>
      <c r="R11" s="19"/>
      <c r="S11" s="19"/>
    </row>
    <row r="12" spans="1:19" x14ac:dyDescent="0.15">
      <c r="A12" s="19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433" t="s">
        <v>22</v>
      </c>
      <c r="M12" s="434">
        <v>1</v>
      </c>
      <c r="N12" s="18"/>
      <c r="O12" s="18"/>
      <c r="P12" s="19"/>
      <c r="Q12" s="19"/>
      <c r="R12" s="19"/>
      <c r="S12" s="19"/>
    </row>
    <row r="13" spans="1:19" x14ac:dyDescent="0.15">
      <c r="A13" s="19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435" t="s">
        <v>52</v>
      </c>
      <c r="M13" s="436" t="s">
        <v>95</v>
      </c>
      <c r="N13" s="18"/>
      <c r="O13" s="18"/>
      <c r="P13" s="19"/>
      <c r="Q13" s="19"/>
      <c r="R13" s="19"/>
      <c r="S13" s="19"/>
    </row>
  </sheetData>
  <phoneticPr fontId="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P7"/>
  <sheetViews>
    <sheetView workbookViewId="0">
      <selection activeCell="N33" sqref="N33"/>
    </sheetView>
  </sheetViews>
  <sheetFormatPr defaultRowHeight="13.5" x14ac:dyDescent="0.15"/>
  <sheetData>
    <row r="4" spans="1:16" x14ac:dyDescent="0.15">
      <c r="A4" s="6"/>
      <c r="B4" s="7" t="s">
        <v>0</v>
      </c>
      <c r="C4" s="7" t="s">
        <v>1</v>
      </c>
      <c r="D4" s="7" t="s">
        <v>56</v>
      </c>
      <c r="E4" s="7" t="s">
        <v>2</v>
      </c>
      <c r="F4" s="7" t="s">
        <v>3</v>
      </c>
      <c r="G4" s="7" t="s">
        <v>4</v>
      </c>
      <c r="H4" s="7" t="s">
        <v>5</v>
      </c>
      <c r="I4" s="7" t="s">
        <v>6</v>
      </c>
      <c r="J4" s="7" t="s">
        <v>7</v>
      </c>
      <c r="K4" s="7" t="s">
        <v>36</v>
      </c>
      <c r="L4" s="8" t="s">
        <v>8</v>
      </c>
      <c r="M4" s="8" t="s">
        <v>9</v>
      </c>
      <c r="N4" s="8" t="s">
        <v>10</v>
      </c>
      <c r="O4" s="8" t="s">
        <v>11</v>
      </c>
      <c r="P4" s="8" t="s">
        <v>12</v>
      </c>
    </row>
    <row r="5" spans="1:16" x14ac:dyDescent="0.15">
      <c r="A5" s="20">
        <v>1</v>
      </c>
      <c r="B5" s="437" t="s">
        <v>71</v>
      </c>
      <c r="C5" s="438" t="s">
        <v>107</v>
      </c>
      <c r="D5" s="439" t="s">
        <v>13</v>
      </c>
      <c r="E5" s="440" t="s">
        <v>62</v>
      </c>
      <c r="F5" s="441" t="s">
        <v>62</v>
      </c>
      <c r="G5" s="442" t="s">
        <v>14</v>
      </c>
      <c r="H5" s="443" t="s">
        <v>63</v>
      </c>
      <c r="I5" s="444" t="s">
        <v>15</v>
      </c>
      <c r="J5" s="445" t="s">
        <v>57</v>
      </c>
      <c r="K5" s="446" t="s">
        <v>17</v>
      </c>
      <c r="L5" s="447">
        <v>10</v>
      </c>
      <c r="M5" s="448">
        <v>5</v>
      </c>
      <c r="N5" s="449">
        <v>0</v>
      </c>
      <c r="O5" s="450">
        <f>L5-M5-N5</f>
        <v>5</v>
      </c>
      <c r="P5" s="451">
        <f>O5/L5</f>
        <v>0.5</v>
      </c>
    </row>
    <row r="6" spans="1:16" x14ac:dyDescent="0.15">
      <c r="A6" s="20">
        <v>1</v>
      </c>
      <c r="B6" s="452" t="s">
        <v>71</v>
      </c>
      <c r="C6" s="453" t="s">
        <v>108</v>
      </c>
      <c r="D6" s="454" t="s">
        <v>13</v>
      </c>
      <c r="E6" s="455" t="s">
        <v>62</v>
      </c>
      <c r="F6" s="456" t="s">
        <v>62</v>
      </c>
      <c r="G6" s="457" t="s">
        <v>14</v>
      </c>
      <c r="H6" s="458" t="s">
        <v>63</v>
      </c>
      <c r="I6" s="459" t="s">
        <v>15</v>
      </c>
      <c r="J6" s="460" t="s">
        <v>58</v>
      </c>
      <c r="K6" s="461" t="s">
        <v>17</v>
      </c>
      <c r="L6" s="462">
        <v>10</v>
      </c>
      <c r="M6" s="463">
        <v>5</v>
      </c>
      <c r="N6" s="464">
        <v>0</v>
      </c>
      <c r="O6" s="465">
        <f>L6-M6-N6</f>
        <v>5</v>
      </c>
      <c r="P6" s="466">
        <f>O6/L6</f>
        <v>0.5</v>
      </c>
    </row>
    <row r="7" spans="1:16" x14ac:dyDescent="0.15">
      <c r="A7" s="19"/>
      <c r="B7" s="23"/>
      <c r="C7" s="24"/>
      <c r="D7" s="12"/>
      <c r="E7" s="12"/>
      <c r="F7" s="12"/>
      <c r="G7" s="12"/>
      <c r="H7" s="12"/>
      <c r="I7" s="12"/>
      <c r="J7" s="12"/>
      <c r="K7" s="13" t="s">
        <v>19</v>
      </c>
      <c r="L7" s="14">
        <f>SUM(L5:L6)-SUM(L5,0)</f>
        <v>10</v>
      </c>
      <c r="M7" s="14">
        <f>SUM(M5:M6)-SUM(M5,0)</f>
        <v>5</v>
      </c>
      <c r="N7" s="14">
        <f>SUM(N5:N6)-SUM(N5,0)</f>
        <v>0</v>
      </c>
      <c r="O7" s="14">
        <f>SUM(O5:O6)-SUM(O5,0)</f>
        <v>5</v>
      </c>
      <c r="P7" s="15">
        <f>O7/L7</f>
        <v>0.5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4:P7"/>
  <sheetViews>
    <sheetView workbookViewId="0">
      <selection activeCell="Q1" sqref="Q1:S1048576"/>
    </sheetView>
  </sheetViews>
  <sheetFormatPr defaultRowHeight="13.5" x14ac:dyDescent="0.15"/>
  <sheetData>
    <row r="4" spans="1:16" x14ac:dyDescent="0.15">
      <c r="A4" s="6"/>
      <c r="B4" s="7" t="s">
        <v>0</v>
      </c>
      <c r="C4" s="7" t="s">
        <v>1</v>
      </c>
      <c r="D4" s="7" t="s">
        <v>56</v>
      </c>
      <c r="E4" s="7" t="s">
        <v>2</v>
      </c>
      <c r="F4" s="7" t="s">
        <v>3</v>
      </c>
      <c r="G4" s="7" t="s">
        <v>4</v>
      </c>
      <c r="H4" s="7" t="s">
        <v>5</v>
      </c>
      <c r="I4" s="7" t="s">
        <v>6</v>
      </c>
      <c r="J4" s="7" t="s">
        <v>7</v>
      </c>
      <c r="K4" s="7" t="s">
        <v>36</v>
      </c>
      <c r="L4" s="8" t="s">
        <v>8</v>
      </c>
      <c r="M4" s="8" t="s">
        <v>9</v>
      </c>
      <c r="N4" s="8" t="s">
        <v>10</v>
      </c>
      <c r="O4" s="8" t="s">
        <v>11</v>
      </c>
      <c r="P4" s="8" t="s">
        <v>12</v>
      </c>
    </row>
    <row r="5" spans="1:16" x14ac:dyDescent="0.15">
      <c r="A5" s="20">
        <v>1</v>
      </c>
      <c r="B5" s="467" t="s">
        <v>71</v>
      </c>
      <c r="C5" s="468" t="s">
        <v>109</v>
      </c>
      <c r="D5" s="469" t="s">
        <v>13</v>
      </c>
      <c r="E5" s="470" t="s">
        <v>62</v>
      </c>
      <c r="F5" s="471" t="s">
        <v>62</v>
      </c>
      <c r="G5" s="472" t="s">
        <v>14</v>
      </c>
      <c r="H5" s="473" t="s">
        <v>63</v>
      </c>
      <c r="I5" s="474" t="s">
        <v>15</v>
      </c>
      <c r="J5" s="475" t="s">
        <v>59</v>
      </c>
      <c r="K5" s="476" t="s">
        <v>17</v>
      </c>
      <c r="L5" s="477">
        <v>10</v>
      </c>
      <c r="M5" s="478">
        <v>5</v>
      </c>
      <c r="N5" s="479">
        <v>0</v>
      </c>
      <c r="O5" s="480">
        <f>L5-M5-N5</f>
        <v>5</v>
      </c>
      <c r="P5" s="481">
        <f>O5/L5</f>
        <v>0.5</v>
      </c>
    </row>
    <row r="6" spans="1:16" x14ac:dyDescent="0.15">
      <c r="A6" s="20">
        <v>1</v>
      </c>
      <c r="B6" s="482" t="s">
        <v>71</v>
      </c>
      <c r="C6" s="483" t="s">
        <v>110</v>
      </c>
      <c r="D6" s="484" t="s">
        <v>13</v>
      </c>
      <c r="E6" s="485" t="s">
        <v>62</v>
      </c>
      <c r="F6" s="486" t="s">
        <v>62</v>
      </c>
      <c r="G6" s="487" t="s">
        <v>14</v>
      </c>
      <c r="H6" s="488" t="s">
        <v>63</v>
      </c>
      <c r="I6" s="489" t="s">
        <v>15</v>
      </c>
      <c r="J6" s="490" t="s">
        <v>60</v>
      </c>
      <c r="K6" s="491" t="s">
        <v>17</v>
      </c>
      <c r="L6" s="492">
        <v>10</v>
      </c>
      <c r="M6" s="493">
        <v>5</v>
      </c>
      <c r="N6" s="494">
        <v>0</v>
      </c>
      <c r="O6" s="495">
        <f>L6-M6-N6</f>
        <v>5</v>
      </c>
      <c r="P6" s="496">
        <f>O6/L6</f>
        <v>0.5</v>
      </c>
    </row>
    <row r="7" spans="1:16" x14ac:dyDescent="0.15">
      <c r="A7" s="19"/>
      <c r="B7" s="12"/>
      <c r="C7" s="12"/>
      <c r="D7" s="12"/>
      <c r="E7" s="12"/>
      <c r="F7" s="12"/>
      <c r="G7" s="12"/>
      <c r="H7" s="12"/>
      <c r="I7" s="12"/>
      <c r="J7" s="12"/>
      <c r="K7" s="13" t="s">
        <v>19</v>
      </c>
      <c r="L7" s="14">
        <f>SUM(L5:L6)-SUM(L6,0)</f>
        <v>10</v>
      </c>
      <c r="M7" s="14">
        <f>SUM(M5:M6)-SUM(M6,0)</f>
        <v>5</v>
      </c>
      <c r="N7" s="14">
        <f>SUM(N5:N6)-SUM(N6,0)</f>
        <v>0</v>
      </c>
      <c r="O7" s="14">
        <f>SUM(O5:O6)-SUM(O6,0)</f>
        <v>5</v>
      </c>
      <c r="P7" s="15">
        <f>O7/L7</f>
        <v>0.5</v>
      </c>
    </row>
  </sheetData>
  <phoneticPr fontId="6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4:P7"/>
  <sheetViews>
    <sheetView workbookViewId="0">
      <selection activeCell="M26" sqref="M26"/>
    </sheetView>
  </sheetViews>
  <sheetFormatPr defaultRowHeight="13.5" x14ac:dyDescent="0.15"/>
  <sheetData>
    <row r="4" spans="1:16" x14ac:dyDescent="0.15">
      <c r="A4" s="6"/>
      <c r="B4" s="7" t="s">
        <v>0</v>
      </c>
      <c r="C4" s="7" t="s">
        <v>1</v>
      </c>
      <c r="D4" s="7" t="s">
        <v>56</v>
      </c>
      <c r="E4" s="7" t="s">
        <v>2</v>
      </c>
      <c r="F4" s="7" t="s">
        <v>3</v>
      </c>
      <c r="G4" s="7" t="s">
        <v>4</v>
      </c>
      <c r="H4" s="7" t="s">
        <v>5</v>
      </c>
      <c r="I4" s="7" t="s">
        <v>6</v>
      </c>
      <c r="J4" s="7" t="s">
        <v>7</v>
      </c>
      <c r="K4" s="7" t="s">
        <v>36</v>
      </c>
      <c r="L4" s="8" t="s">
        <v>8</v>
      </c>
      <c r="M4" s="8" t="s">
        <v>9</v>
      </c>
      <c r="N4" s="8" t="s">
        <v>10</v>
      </c>
      <c r="O4" s="8" t="s">
        <v>11</v>
      </c>
      <c r="P4" s="8" t="s">
        <v>12</v>
      </c>
    </row>
    <row r="5" spans="1:16" x14ac:dyDescent="0.15">
      <c r="A5" s="20">
        <v>1</v>
      </c>
      <c r="B5" s="497" t="s">
        <v>71</v>
      </c>
      <c r="C5" s="498" t="s">
        <v>111</v>
      </c>
      <c r="D5" s="499" t="s">
        <v>13</v>
      </c>
      <c r="E5" s="500" t="s">
        <v>62</v>
      </c>
      <c r="F5" s="501" t="s">
        <v>62</v>
      </c>
      <c r="G5" s="502" t="s">
        <v>14</v>
      </c>
      <c r="H5" s="503" t="s">
        <v>63</v>
      </c>
      <c r="I5" s="504" t="s">
        <v>15</v>
      </c>
      <c r="J5" s="505" t="s">
        <v>61</v>
      </c>
      <c r="K5" s="506" t="s">
        <v>17</v>
      </c>
      <c r="L5" s="507">
        <v>10</v>
      </c>
      <c r="M5" s="508">
        <v>5</v>
      </c>
      <c r="N5" s="509">
        <v>0</v>
      </c>
      <c r="O5" s="510">
        <f>L5-M5-N5</f>
        <v>5</v>
      </c>
      <c r="P5" s="511">
        <f>O5/L5</f>
        <v>0.5</v>
      </c>
    </row>
    <row r="6" spans="1:16" x14ac:dyDescent="0.15">
      <c r="A6" s="20">
        <v>1</v>
      </c>
      <c r="B6" s="512" t="s">
        <v>71</v>
      </c>
      <c r="C6" s="513" t="s">
        <v>112</v>
      </c>
      <c r="D6" s="514" t="s">
        <v>13</v>
      </c>
      <c r="E6" s="515" t="s">
        <v>62</v>
      </c>
      <c r="F6" s="516" t="s">
        <v>62</v>
      </c>
      <c r="G6" s="517" t="s">
        <v>14</v>
      </c>
      <c r="H6" s="518" t="s">
        <v>63</v>
      </c>
      <c r="I6" s="519" t="s">
        <v>15</v>
      </c>
      <c r="J6" s="520" t="s">
        <v>64</v>
      </c>
      <c r="K6" s="521" t="s">
        <v>17</v>
      </c>
      <c r="L6" s="522">
        <v>10</v>
      </c>
      <c r="M6" s="523">
        <v>5</v>
      </c>
      <c r="N6" s="524">
        <v>0</v>
      </c>
      <c r="O6" s="525">
        <f>L6-M6-N6</f>
        <v>5</v>
      </c>
      <c r="P6" s="526">
        <f>O6/L6</f>
        <v>0.5</v>
      </c>
    </row>
    <row r="7" spans="1:16" x14ac:dyDescent="0.15">
      <c r="A7" s="19"/>
      <c r="B7" s="12"/>
      <c r="C7" s="12"/>
      <c r="D7" s="12"/>
      <c r="E7" s="12"/>
      <c r="F7" s="12"/>
      <c r="G7" s="12"/>
      <c r="H7" s="12"/>
      <c r="I7" s="12"/>
      <c r="J7" s="12"/>
      <c r="K7" s="13" t="s">
        <v>19</v>
      </c>
      <c r="L7" s="14">
        <f>SUM(L5:L6)-SUM(0)</f>
        <v>20</v>
      </c>
      <c r="M7" s="14">
        <f>SUM(M5:M6)-SUM(0)</f>
        <v>10</v>
      </c>
      <c r="N7" s="14">
        <f>SUM(N5:N6)-SUM(0)</f>
        <v>0</v>
      </c>
      <c r="O7" s="14">
        <f>SUM(O5:O6)-SUM(0)</f>
        <v>10</v>
      </c>
      <c r="P7" s="15">
        <f>O7/L7</f>
        <v>0.5</v>
      </c>
    </row>
  </sheetData>
  <phoneticPr fontId="6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7"/>
  <sheetViews>
    <sheetView tabSelected="1" workbookViewId="0">
      <selection activeCell="N13" sqref="N13"/>
    </sheetView>
  </sheetViews>
  <sheetFormatPr defaultRowHeight="13.5" x14ac:dyDescent="0.15"/>
  <cols>
    <col min="2" max="3" width="9" style="22"/>
  </cols>
  <sheetData>
    <row r="1" spans="1:16" x14ac:dyDescent="0.15">
      <c r="B1"/>
      <c r="C1"/>
    </row>
    <row r="2" spans="1:16" x14ac:dyDescent="0.15">
      <c r="B2"/>
      <c r="C2"/>
    </row>
    <row r="3" spans="1:16" x14ac:dyDescent="0.15">
      <c r="B3"/>
      <c r="C3"/>
    </row>
    <row r="4" spans="1:16" x14ac:dyDescent="0.15">
      <c r="A4" s="6"/>
      <c r="B4" s="7" t="s">
        <v>0</v>
      </c>
      <c r="C4" s="7" t="s">
        <v>1</v>
      </c>
      <c r="D4" s="7" t="s">
        <v>56</v>
      </c>
      <c r="E4" s="7" t="s">
        <v>2</v>
      </c>
      <c r="F4" s="7" t="s">
        <v>3</v>
      </c>
      <c r="G4" s="7" t="s">
        <v>4</v>
      </c>
      <c r="H4" s="7" t="s">
        <v>5</v>
      </c>
      <c r="I4" s="7" t="s">
        <v>6</v>
      </c>
      <c r="J4" s="7" t="s">
        <v>7</v>
      </c>
      <c r="K4" s="7" t="s">
        <v>36</v>
      </c>
      <c r="L4" s="8" t="s">
        <v>8</v>
      </c>
      <c r="M4" s="8" t="s">
        <v>9</v>
      </c>
      <c r="N4" s="8" t="s">
        <v>10</v>
      </c>
      <c r="O4" s="8" t="s">
        <v>11</v>
      </c>
      <c r="P4" s="8" t="s">
        <v>12</v>
      </c>
    </row>
    <row r="5" spans="1:16" x14ac:dyDescent="0.15">
      <c r="A5" s="20">
        <v>1</v>
      </c>
      <c r="B5" s="527" t="s">
        <v>71</v>
      </c>
      <c r="C5" s="528" t="s">
        <v>96</v>
      </c>
      <c r="D5" s="529" t="s">
        <v>13</v>
      </c>
      <c r="E5" s="530" t="s">
        <v>62</v>
      </c>
      <c r="F5" s="531" t="s">
        <v>62</v>
      </c>
      <c r="G5" s="532" t="s">
        <v>14</v>
      </c>
      <c r="H5" s="533" t="s">
        <v>63</v>
      </c>
      <c r="I5" s="534" t="s">
        <v>15</v>
      </c>
      <c r="J5" s="535" t="s">
        <v>65</v>
      </c>
      <c r="K5" s="536" t="s">
        <v>17</v>
      </c>
      <c r="L5" s="537">
        <v>10</v>
      </c>
      <c r="M5" s="538">
        <v>5</v>
      </c>
      <c r="N5" s="539">
        <v>0</v>
      </c>
      <c r="O5" s="540">
        <f>L5-M5-N5</f>
        <v>5</v>
      </c>
      <c r="P5" s="541">
        <f>O5/L5</f>
        <v>0.5</v>
      </c>
    </row>
    <row r="6" spans="1:16" x14ac:dyDescent="0.15">
      <c r="A6" s="20">
        <v>1</v>
      </c>
      <c r="B6" s="542" t="s">
        <v>71</v>
      </c>
      <c r="C6" s="543" t="s">
        <v>67</v>
      </c>
      <c r="D6" s="544" t="s">
        <v>13</v>
      </c>
      <c r="E6" s="545" t="s">
        <v>62</v>
      </c>
      <c r="F6" s="546" t="s">
        <v>62</v>
      </c>
      <c r="G6" s="547" t="s">
        <v>14</v>
      </c>
      <c r="H6" s="548" t="s">
        <v>63</v>
      </c>
      <c r="I6" s="549" t="s">
        <v>15</v>
      </c>
      <c r="J6" s="550" t="s">
        <v>66</v>
      </c>
      <c r="K6" s="551" t="s">
        <v>17</v>
      </c>
      <c r="L6" s="552">
        <v>10</v>
      </c>
      <c r="M6" s="553">
        <v>5</v>
      </c>
      <c r="N6" s="554">
        <v>0</v>
      </c>
      <c r="O6" s="555">
        <f>L6-M6-N6</f>
        <v>5</v>
      </c>
      <c r="P6" s="556">
        <f>O6/L6</f>
        <v>0.5</v>
      </c>
    </row>
    <row r="7" spans="1:16" x14ac:dyDescent="0.15">
      <c r="A7" s="19"/>
      <c r="B7" s="21"/>
      <c r="C7" s="21"/>
      <c r="D7" s="12"/>
      <c r="E7" s="12"/>
      <c r="F7" s="12"/>
      <c r="G7" s="12"/>
      <c r="H7" s="12"/>
      <c r="I7" s="12"/>
      <c r="J7" s="12"/>
      <c r="K7" s="13" t="s">
        <v>19</v>
      </c>
      <c r="L7" s="14">
        <f>SUM(L5:L6)-SUM(L5,0)</f>
        <v>10</v>
      </c>
      <c r="M7" s="14">
        <f>SUM(M5:M6)-SUM(M5,0)</f>
        <v>5</v>
      </c>
      <c r="N7" s="14">
        <f>SUM(N5:N6)-SUM(N5,0)</f>
        <v>0</v>
      </c>
      <c r="O7" s="14">
        <f>SUM(O5:O6)-SUM(O5,0)</f>
        <v>5</v>
      </c>
      <c r="P7" s="15">
        <f>O7/L7</f>
        <v>0.5</v>
      </c>
    </row>
  </sheetData>
  <phoneticPr fontId="6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稼働一覧</vt:lpstr>
      <vt:lpstr>渡辺一覧</vt:lpstr>
      <vt:lpstr>福田一覧</vt:lpstr>
      <vt:lpstr>木村一覧</vt:lpstr>
      <vt:lpstr>大村一覧</vt:lpstr>
      <vt:lpstr>中村一覧</vt:lpstr>
      <vt:lpstr>正社員</vt:lpstr>
      <vt:lpstr>契約社員</vt:lpstr>
      <vt:lpstr>個人事業主</vt:lpstr>
      <vt:lpstr>協力会社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2021-02-10T07:19:57Z</dcterms:modified>
</cp:coreProperties>
</file>