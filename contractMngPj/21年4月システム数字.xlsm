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90" yWindow="2295" windowWidth="19950" windowHeight="7395" activeTab="2"/>
  </bookViews>
  <sheets>
    <sheet name="稼働一覧" sheetId="1" r:id="rId1"/>
    <sheet name="渡辺一覧" sheetId="9" r:id="rId2"/>
    <sheet name="福田一覧" sheetId="15" r:id="rId3"/>
    <sheet name="木村一覧" sheetId="14" r:id="rId4"/>
    <sheet name="大村一覧" sheetId="16" r:id="rId5"/>
    <sheet name="中村一覧" sheetId="17" r:id="rId6"/>
    <sheet name="正社員" sheetId="7" r:id="rId7"/>
    <sheet name="契約社員" sheetId="11" r:id="rId8"/>
    <sheet name="個人事業主" sheetId="12" r:id="rId9"/>
    <sheet name="協力会社" sheetId="13" r:id="rId10"/>
  </sheet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9" i="13" l="1"/>
  <c r="O79" i="13"/>
  <c r="N79" i="13"/>
  <c r="M79" i="13"/>
  <c r="L79" i="13"/>
  <c r="P78" i="13"/>
  <c r="O78" i="13"/>
  <c r="P77" i="13"/>
  <c r="O77" i="13"/>
  <c r="P76" i="13"/>
  <c r="O76" i="13"/>
  <c r="P75" i="13"/>
  <c r="O75" i="13"/>
  <c r="P74" i="13"/>
  <c r="O74" i="13"/>
  <c r="P73" i="13"/>
  <c r="O73" i="13"/>
  <c r="P72" i="13"/>
  <c r="O72" i="13"/>
  <c r="P71" i="13"/>
  <c r="O71" i="13"/>
  <c r="P70" i="13"/>
  <c r="O70" i="13"/>
  <c r="P69" i="13"/>
  <c r="O69" i="13"/>
  <c r="P68" i="13"/>
  <c r="O68" i="13"/>
  <c r="P67" i="13"/>
  <c r="O67" i="13"/>
  <c r="P66" i="13"/>
  <c r="O66" i="13"/>
  <c r="P65" i="13"/>
  <c r="O65" i="13"/>
  <c r="P64" i="13"/>
  <c r="O64" i="13"/>
  <c r="P63" i="13"/>
  <c r="O63" i="13"/>
  <c r="P62" i="13"/>
  <c r="O62" i="13"/>
  <c r="P61" i="13"/>
  <c r="O61" i="13"/>
  <c r="P60" i="13"/>
  <c r="O60" i="13"/>
  <c r="P59" i="13"/>
  <c r="O59" i="13"/>
  <c r="P58" i="13"/>
  <c r="O58" i="13"/>
  <c r="P57" i="13"/>
  <c r="O57" i="13"/>
  <c r="P56" i="13"/>
  <c r="O56" i="13"/>
  <c r="P55" i="13"/>
  <c r="O55" i="13"/>
  <c r="P54" i="13"/>
  <c r="O54" i="13"/>
  <c r="P53" i="13"/>
  <c r="O53" i="13"/>
  <c r="P52" i="13"/>
  <c r="O52" i="13"/>
  <c r="P51" i="13"/>
  <c r="O51" i="13"/>
  <c r="P50" i="13"/>
  <c r="O50" i="13"/>
  <c r="P49" i="13"/>
  <c r="O49" i="13"/>
  <c r="P48" i="13"/>
  <c r="O48" i="13"/>
  <c r="P47" i="13"/>
  <c r="O47" i="13"/>
  <c r="P46" i="13"/>
  <c r="O46" i="13"/>
  <c r="P45" i="13"/>
  <c r="O45" i="13"/>
  <c r="P44" i="13"/>
  <c r="O44" i="13"/>
  <c r="P43" i="13"/>
  <c r="O43" i="13"/>
  <c r="P42" i="13"/>
  <c r="O42" i="13"/>
  <c r="P41" i="13"/>
  <c r="O41" i="13"/>
  <c r="P40" i="13"/>
  <c r="O40" i="13"/>
  <c r="P39" i="13"/>
  <c r="O39" i="13"/>
  <c r="P38" i="13"/>
  <c r="O38" i="13"/>
  <c r="P37" i="13"/>
  <c r="O37" i="13"/>
  <c r="P36" i="13"/>
  <c r="O36" i="13"/>
  <c r="P35" i="13"/>
  <c r="O35" i="13"/>
  <c r="P34" i="13"/>
  <c r="O34" i="13"/>
  <c r="P33" i="13"/>
  <c r="O33" i="13"/>
  <c r="P32" i="13"/>
  <c r="O32" i="13"/>
  <c r="P31" i="13"/>
  <c r="O31" i="13"/>
  <c r="P30" i="13"/>
  <c r="O30" i="13"/>
  <c r="P29" i="13"/>
  <c r="O29" i="13"/>
  <c r="P28" i="13"/>
  <c r="O28" i="13"/>
  <c r="P27" i="13"/>
  <c r="O27" i="13"/>
  <c r="P26" i="13"/>
  <c r="O26" i="13"/>
  <c r="P25" i="13"/>
  <c r="O25" i="13"/>
  <c r="P24" i="13"/>
  <c r="O24" i="13"/>
  <c r="P23" i="13"/>
  <c r="O23" i="13"/>
  <c r="P22" i="13"/>
  <c r="O22" i="13"/>
  <c r="P21" i="13"/>
  <c r="O21" i="13"/>
  <c r="P20" i="13"/>
  <c r="O20" i="13"/>
  <c r="P19" i="13"/>
  <c r="O19" i="13"/>
  <c r="P18" i="13"/>
  <c r="O18" i="13"/>
  <c r="P17" i="13"/>
  <c r="O17" i="13"/>
  <c r="P16" i="13"/>
  <c r="O16" i="13"/>
  <c r="P15" i="13"/>
  <c r="O15" i="13"/>
  <c r="P14" i="13"/>
  <c r="O14" i="13"/>
  <c r="P13" i="13"/>
  <c r="O13" i="13"/>
  <c r="P12" i="13"/>
  <c r="O12" i="13"/>
  <c r="P11" i="13"/>
  <c r="O11" i="13"/>
  <c r="P10" i="13"/>
  <c r="O10" i="13"/>
  <c r="P9" i="13"/>
  <c r="O9" i="13"/>
  <c r="P8" i="13"/>
  <c r="O8" i="13"/>
  <c r="P7" i="13"/>
  <c r="O7" i="13"/>
  <c r="P6" i="13"/>
  <c r="O6" i="13"/>
  <c r="P5" i="13"/>
  <c r="O5" i="13"/>
  <c r="P24" i="12"/>
  <c r="O24" i="12"/>
  <c r="N24" i="12"/>
  <c r="M24" i="12"/>
  <c r="L24" i="12"/>
  <c r="P23" i="12"/>
  <c r="O23" i="12"/>
  <c r="P22" i="12"/>
  <c r="O22" i="12"/>
  <c r="P21" i="12"/>
  <c r="O21" i="12"/>
  <c r="P20" i="12"/>
  <c r="O20" i="12"/>
  <c r="P19" i="12"/>
  <c r="O19" i="12"/>
  <c r="P18" i="12"/>
  <c r="O18" i="12"/>
  <c r="P17" i="12"/>
  <c r="O17" i="12"/>
  <c r="P16" i="12"/>
  <c r="O16" i="12"/>
  <c r="P15" i="12"/>
  <c r="O15" i="12"/>
  <c r="P14" i="12"/>
  <c r="O14" i="12"/>
  <c r="P13" i="12"/>
  <c r="O13" i="12"/>
  <c r="P12" i="12"/>
  <c r="O12" i="12"/>
  <c r="P11" i="12"/>
  <c r="O11" i="12"/>
  <c r="P10" i="12"/>
  <c r="O10" i="12"/>
  <c r="P9" i="12"/>
  <c r="O9" i="12"/>
  <c r="P8" i="12"/>
  <c r="O8" i="12"/>
  <c r="P7" i="12"/>
  <c r="O7" i="12"/>
  <c r="P6" i="12"/>
  <c r="O6" i="12"/>
  <c r="P5" i="12"/>
  <c r="O5" i="12"/>
  <c r="P8" i="11"/>
  <c r="O8" i="11"/>
  <c r="N8" i="11"/>
  <c r="M8" i="11"/>
  <c r="L8" i="11"/>
  <c r="P7" i="11"/>
  <c r="O7" i="11"/>
  <c r="P6" i="11"/>
  <c r="O6" i="11"/>
  <c r="P5" i="11"/>
  <c r="O5" i="11"/>
  <c r="P21" i="7"/>
  <c r="O21" i="7"/>
  <c r="N21" i="7"/>
  <c r="M21" i="7"/>
  <c r="L21" i="7"/>
  <c r="P20" i="7"/>
  <c r="O20" i="7"/>
  <c r="P19" i="7"/>
  <c r="O19" i="7"/>
  <c r="P18" i="7"/>
  <c r="O18" i="7"/>
  <c r="P17" i="7"/>
  <c r="O17" i="7"/>
  <c r="P16" i="7"/>
  <c r="O16" i="7"/>
  <c r="P15" i="7"/>
  <c r="O15" i="7"/>
  <c r="P14" i="7"/>
  <c r="O14" i="7"/>
  <c r="P13" i="7"/>
  <c r="O13" i="7"/>
  <c r="P12" i="7"/>
  <c r="O12" i="7"/>
  <c r="P11" i="7"/>
  <c r="O11" i="7"/>
  <c r="P10" i="7"/>
  <c r="O10" i="7"/>
  <c r="P9" i="7"/>
  <c r="O9" i="7"/>
  <c r="P8" i="7"/>
  <c r="O8" i="7"/>
  <c r="P7" i="7"/>
  <c r="O7" i="7"/>
  <c r="P6" i="7"/>
  <c r="O6" i="7"/>
  <c r="P5" i="7"/>
  <c r="O5" i="7"/>
  <c r="M15" i="17"/>
  <c r="M14" i="17"/>
  <c r="S12" i="17"/>
  <c r="R12" i="17"/>
  <c r="Q12" i="17"/>
  <c r="P12" i="17"/>
  <c r="O12" i="17"/>
  <c r="N12" i="17"/>
  <c r="M12" i="17"/>
  <c r="L12" i="17"/>
  <c r="S11" i="17"/>
  <c r="R11" i="17"/>
  <c r="P11" i="17"/>
  <c r="O11" i="17"/>
  <c r="S10" i="17"/>
  <c r="R10" i="17"/>
  <c r="P10" i="17"/>
  <c r="O10" i="17"/>
  <c r="S9" i="17"/>
  <c r="R9" i="17"/>
  <c r="P9" i="17"/>
  <c r="O9" i="17"/>
  <c r="S8" i="17"/>
  <c r="R8" i="17"/>
  <c r="P8" i="17"/>
  <c r="O8" i="17"/>
  <c r="S7" i="17"/>
  <c r="R7" i="17"/>
  <c r="P7" i="17"/>
  <c r="O7" i="17"/>
  <c r="S6" i="17"/>
  <c r="R6" i="17"/>
  <c r="P6" i="17"/>
  <c r="O6" i="17"/>
  <c r="S5" i="17"/>
  <c r="R5" i="17"/>
  <c r="P5" i="17"/>
  <c r="O5" i="17"/>
  <c r="M30" i="16"/>
  <c r="M29" i="16"/>
  <c r="S27" i="16"/>
  <c r="R27" i="16"/>
  <c r="Q27" i="16"/>
  <c r="P27" i="16"/>
  <c r="O27" i="16"/>
  <c r="N27" i="16"/>
  <c r="M27" i="16"/>
  <c r="L27" i="16"/>
  <c r="S26" i="16"/>
  <c r="R26" i="16"/>
  <c r="P26" i="16"/>
  <c r="O26" i="16"/>
  <c r="S25" i="16"/>
  <c r="R25" i="16"/>
  <c r="P25" i="16"/>
  <c r="O25" i="16"/>
  <c r="S24" i="16"/>
  <c r="R24" i="16"/>
  <c r="P24" i="16"/>
  <c r="O24" i="16"/>
  <c r="S23" i="16"/>
  <c r="R23" i="16"/>
  <c r="P23" i="16"/>
  <c r="O23" i="16"/>
  <c r="S22" i="16"/>
  <c r="R22" i="16"/>
  <c r="P22" i="16"/>
  <c r="O22" i="16"/>
  <c r="S21" i="16"/>
  <c r="R21" i="16"/>
  <c r="P21" i="16"/>
  <c r="O21" i="16"/>
  <c r="S20" i="16"/>
  <c r="R20" i="16"/>
  <c r="P20" i="16"/>
  <c r="O20" i="16"/>
  <c r="S19" i="16"/>
  <c r="R19" i="16"/>
  <c r="P19" i="16"/>
  <c r="O19" i="16"/>
  <c r="S18" i="16"/>
  <c r="R18" i="16"/>
  <c r="P18" i="16"/>
  <c r="O18" i="16"/>
  <c r="S17" i="16"/>
  <c r="R17" i="16"/>
  <c r="P17" i="16"/>
  <c r="O17" i="16"/>
  <c r="S16" i="16"/>
  <c r="R16" i="16"/>
  <c r="P16" i="16"/>
  <c r="O16" i="16"/>
  <c r="S15" i="16"/>
  <c r="R15" i="16"/>
  <c r="P15" i="16"/>
  <c r="O15" i="16"/>
  <c r="S14" i="16"/>
  <c r="R14" i="16"/>
  <c r="P14" i="16"/>
  <c r="O14" i="16"/>
  <c r="S13" i="16"/>
  <c r="R13" i="16"/>
  <c r="P13" i="16"/>
  <c r="O13" i="16"/>
  <c r="S12" i="16"/>
  <c r="R12" i="16"/>
  <c r="P12" i="16"/>
  <c r="O12" i="16"/>
  <c r="S11" i="16"/>
  <c r="R11" i="16"/>
  <c r="P11" i="16"/>
  <c r="O11" i="16"/>
  <c r="S10" i="16"/>
  <c r="R10" i="16"/>
  <c r="P10" i="16"/>
  <c r="O10" i="16"/>
  <c r="S9" i="16"/>
  <c r="R9" i="16"/>
  <c r="P9" i="16"/>
  <c r="O9" i="16"/>
  <c r="S8" i="16"/>
  <c r="R8" i="16"/>
  <c r="P8" i="16"/>
  <c r="O8" i="16"/>
  <c r="S7" i="16"/>
  <c r="R7" i="16"/>
  <c r="P7" i="16"/>
  <c r="O7" i="16"/>
  <c r="S6" i="16"/>
  <c r="R6" i="16"/>
  <c r="P6" i="16"/>
  <c r="O6" i="16"/>
  <c r="S5" i="16"/>
  <c r="R5" i="16"/>
  <c r="P5" i="16"/>
  <c r="O5" i="16"/>
  <c r="Q15" i="15"/>
  <c r="N15" i="15"/>
  <c r="M15" i="15"/>
  <c r="L15" i="15"/>
  <c r="R14" i="15"/>
  <c r="P14" i="15"/>
  <c r="O14" i="15"/>
  <c r="S14" i="15" s="1"/>
  <c r="R13" i="15"/>
  <c r="P13" i="15"/>
  <c r="O13" i="15"/>
  <c r="S13" i="15" s="1"/>
  <c r="R12" i="15"/>
  <c r="P12" i="15"/>
  <c r="O12" i="15"/>
  <c r="S12" i="15" s="1"/>
  <c r="R11" i="15"/>
  <c r="P11" i="15"/>
  <c r="O11" i="15"/>
  <c r="S11" i="15" s="1"/>
  <c r="R10" i="15"/>
  <c r="P10" i="15"/>
  <c r="O10" i="15"/>
  <c r="S10" i="15" s="1"/>
  <c r="R9" i="15"/>
  <c r="P9" i="15"/>
  <c r="O9" i="15"/>
  <c r="S9" i="15" s="1"/>
  <c r="R8" i="15"/>
  <c r="P8" i="15"/>
  <c r="O8" i="15"/>
  <c r="S8" i="15" s="1"/>
  <c r="R7" i="15"/>
  <c r="P7" i="15"/>
  <c r="O7" i="15"/>
  <c r="S7" i="15" s="1"/>
  <c r="R6" i="15"/>
  <c r="P6" i="15"/>
  <c r="O6" i="15"/>
  <c r="S6" i="15" s="1"/>
  <c r="R5" i="15"/>
  <c r="R15" i="15" s="1"/>
  <c r="M17" i="15" s="1"/>
  <c r="P5" i="15"/>
  <c r="O5" i="15"/>
  <c r="O15" i="15" s="1"/>
  <c r="P15" i="15" s="1"/>
  <c r="M64" i="14"/>
  <c r="M63" i="14"/>
  <c r="S61" i="14"/>
  <c r="R61" i="14"/>
  <c r="Q61" i="14"/>
  <c r="P61" i="14"/>
  <c r="O61" i="14"/>
  <c r="N61" i="14"/>
  <c r="M61" i="14"/>
  <c r="L61" i="14"/>
  <c r="S60" i="14"/>
  <c r="R60" i="14"/>
  <c r="P60" i="14"/>
  <c r="O60" i="14"/>
  <c r="S59" i="14"/>
  <c r="R59" i="14"/>
  <c r="P59" i="14"/>
  <c r="O59" i="14"/>
  <c r="S58" i="14"/>
  <c r="R58" i="14"/>
  <c r="P58" i="14"/>
  <c r="O58" i="14"/>
  <c r="S57" i="14"/>
  <c r="R57" i="14"/>
  <c r="P57" i="14"/>
  <c r="O57" i="14"/>
  <c r="S56" i="14"/>
  <c r="R56" i="14"/>
  <c r="P56" i="14"/>
  <c r="O56" i="14"/>
  <c r="S55" i="14"/>
  <c r="R55" i="14"/>
  <c r="P55" i="14"/>
  <c r="O55" i="14"/>
  <c r="S54" i="14"/>
  <c r="R54" i="14"/>
  <c r="P54" i="14"/>
  <c r="O54" i="14"/>
  <c r="S53" i="14"/>
  <c r="R53" i="14"/>
  <c r="P53" i="14"/>
  <c r="O53" i="14"/>
  <c r="S52" i="14"/>
  <c r="R52" i="14"/>
  <c r="P52" i="14"/>
  <c r="O52" i="14"/>
  <c r="S51" i="14"/>
  <c r="R51" i="14"/>
  <c r="P51" i="14"/>
  <c r="O51" i="14"/>
  <c r="S50" i="14"/>
  <c r="R50" i="14"/>
  <c r="P50" i="14"/>
  <c r="O50" i="14"/>
  <c r="S49" i="14"/>
  <c r="R49" i="14"/>
  <c r="P49" i="14"/>
  <c r="O49" i="14"/>
  <c r="S48" i="14"/>
  <c r="R48" i="14"/>
  <c r="P48" i="14"/>
  <c r="O48" i="14"/>
  <c r="S47" i="14"/>
  <c r="R47" i="14"/>
  <c r="P47" i="14"/>
  <c r="O47" i="14"/>
  <c r="S46" i="14"/>
  <c r="R46" i="14"/>
  <c r="P46" i="14"/>
  <c r="O46" i="14"/>
  <c r="S45" i="14"/>
  <c r="R45" i="14"/>
  <c r="P45" i="14"/>
  <c r="O45" i="14"/>
  <c r="S44" i="14"/>
  <c r="R44" i="14"/>
  <c r="P44" i="14"/>
  <c r="O44" i="14"/>
  <c r="S43" i="14"/>
  <c r="R43" i="14"/>
  <c r="P43" i="14"/>
  <c r="O43" i="14"/>
  <c r="S42" i="14"/>
  <c r="R42" i="14"/>
  <c r="P42" i="14"/>
  <c r="O42" i="14"/>
  <c r="S41" i="14"/>
  <c r="R41" i="14"/>
  <c r="P41" i="14"/>
  <c r="O41" i="14"/>
  <c r="S40" i="14"/>
  <c r="R40" i="14"/>
  <c r="P40" i="14"/>
  <c r="O40" i="14"/>
  <c r="S39" i="14"/>
  <c r="R39" i="14"/>
  <c r="P39" i="14"/>
  <c r="O39" i="14"/>
  <c r="S38" i="14"/>
  <c r="R38" i="14"/>
  <c r="P38" i="14"/>
  <c r="O38" i="14"/>
  <c r="S37" i="14"/>
  <c r="R37" i="14"/>
  <c r="P37" i="14"/>
  <c r="O37" i="14"/>
  <c r="S36" i="14"/>
  <c r="R36" i="14"/>
  <c r="P36" i="14"/>
  <c r="O36" i="14"/>
  <c r="S35" i="14"/>
  <c r="R35" i="14"/>
  <c r="P35" i="14"/>
  <c r="O35" i="14"/>
  <c r="S34" i="14"/>
  <c r="R34" i="14"/>
  <c r="P34" i="14"/>
  <c r="O34" i="14"/>
  <c r="S33" i="14"/>
  <c r="R33" i="14"/>
  <c r="P33" i="14"/>
  <c r="O33" i="14"/>
  <c r="S32" i="14"/>
  <c r="R32" i="14"/>
  <c r="P32" i="14"/>
  <c r="O32" i="14"/>
  <c r="S31" i="14"/>
  <c r="R31" i="14"/>
  <c r="P31" i="14"/>
  <c r="O31" i="14"/>
  <c r="S30" i="14"/>
  <c r="R30" i="14"/>
  <c r="P30" i="14"/>
  <c r="O30" i="14"/>
  <c r="S29" i="14"/>
  <c r="R29" i="14"/>
  <c r="P29" i="14"/>
  <c r="O29" i="14"/>
  <c r="S28" i="14"/>
  <c r="R28" i="14"/>
  <c r="P28" i="14"/>
  <c r="O28" i="14"/>
  <c r="S27" i="14"/>
  <c r="R27" i="14"/>
  <c r="P27" i="14"/>
  <c r="O27" i="14"/>
  <c r="S26" i="14"/>
  <c r="R26" i="14"/>
  <c r="P26" i="14"/>
  <c r="O26" i="14"/>
  <c r="S25" i="14"/>
  <c r="R25" i="14"/>
  <c r="P25" i="14"/>
  <c r="O25" i="14"/>
  <c r="S24" i="14"/>
  <c r="R24" i="14"/>
  <c r="P24" i="14"/>
  <c r="O24" i="14"/>
  <c r="S23" i="14"/>
  <c r="R23" i="14"/>
  <c r="P23" i="14"/>
  <c r="O23" i="14"/>
  <c r="S22" i="14"/>
  <c r="R22" i="14"/>
  <c r="P22" i="14"/>
  <c r="O22" i="14"/>
  <c r="S21" i="14"/>
  <c r="R21" i="14"/>
  <c r="P21" i="14"/>
  <c r="O21" i="14"/>
  <c r="S20" i="14"/>
  <c r="R20" i="14"/>
  <c r="P20" i="14"/>
  <c r="O20" i="14"/>
  <c r="S19" i="14"/>
  <c r="R19" i="14"/>
  <c r="P19" i="14"/>
  <c r="O19" i="14"/>
  <c r="S18" i="14"/>
  <c r="R18" i="14"/>
  <c r="P18" i="14"/>
  <c r="O18" i="14"/>
  <c r="S17" i="14"/>
  <c r="R17" i="14"/>
  <c r="P17" i="14"/>
  <c r="O17" i="14"/>
  <c r="S16" i="14"/>
  <c r="R16" i="14"/>
  <c r="P16" i="14"/>
  <c r="O16" i="14"/>
  <c r="S15" i="14"/>
  <c r="R15" i="14"/>
  <c r="P15" i="14"/>
  <c r="O15" i="14"/>
  <c r="S14" i="14"/>
  <c r="R14" i="14"/>
  <c r="P14" i="14"/>
  <c r="O14" i="14"/>
  <c r="S13" i="14"/>
  <c r="R13" i="14"/>
  <c r="P13" i="14"/>
  <c r="O13" i="14"/>
  <c r="S12" i="14"/>
  <c r="R12" i="14"/>
  <c r="P12" i="14"/>
  <c r="O12" i="14"/>
  <c r="S11" i="14"/>
  <c r="R11" i="14"/>
  <c r="P11" i="14"/>
  <c r="O11" i="14"/>
  <c r="S10" i="14"/>
  <c r="R10" i="14"/>
  <c r="P10" i="14"/>
  <c r="O10" i="14"/>
  <c r="S9" i="14"/>
  <c r="R9" i="14"/>
  <c r="P9" i="14"/>
  <c r="O9" i="14"/>
  <c r="S8" i="14"/>
  <c r="R8" i="14"/>
  <c r="P8" i="14"/>
  <c r="O8" i="14"/>
  <c r="S7" i="14"/>
  <c r="R7" i="14"/>
  <c r="P7" i="14"/>
  <c r="O7" i="14"/>
  <c r="S6" i="14"/>
  <c r="R6" i="14"/>
  <c r="P6" i="14"/>
  <c r="O6" i="14"/>
  <c r="S5" i="14"/>
  <c r="R5" i="14"/>
  <c r="P5" i="14"/>
  <c r="O5" i="14"/>
  <c r="M17" i="9"/>
  <c r="M16" i="9"/>
  <c r="S14" i="9"/>
  <c r="R14" i="9"/>
  <c r="Q14" i="9"/>
  <c r="P14" i="9"/>
  <c r="O14" i="9"/>
  <c r="N14" i="9"/>
  <c r="M14" i="9"/>
  <c r="L14" i="9"/>
  <c r="S13" i="9"/>
  <c r="R13" i="9"/>
  <c r="P13" i="9"/>
  <c r="O13" i="9"/>
  <c r="S12" i="9"/>
  <c r="R12" i="9"/>
  <c r="P12" i="9"/>
  <c r="O12" i="9"/>
  <c r="S11" i="9"/>
  <c r="R11" i="9"/>
  <c r="P11" i="9"/>
  <c r="O11" i="9"/>
  <c r="S10" i="9"/>
  <c r="R10" i="9"/>
  <c r="P10" i="9"/>
  <c r="O10" i="9"/>
  <c r="S9" i="9"/>
  <c r="R9" i="9"/>
  <c r="P9" i="9"/>
  <c r="O9" i="9"/>
  <c r="S8" i="9"/>
  <c r="R8" i="9"/>
  <c r="P8" i="9"/>
  <c r="O8" i="9"/>
  <c r="S7" i="9"/>
  <c r="R7" i="9"/>
  <c r="P7" i="9"/>
  <c r="O7" i="9"/>
  <c r="S6" i="9"/>
  <c r="R6" i="9"/>
  <c r="P6" i="9"/>
  <c r="O6" i="9"/>
  <c r="S5" i="9"/>
  <c r="R5" i="9"/>
  <c r="P5" i="9"/>
  <c r="O5" i="9"/>
  <c r="M139" i="1"/>
  <c r="N131" i="1"/>
  <c r="M131" i="1"/>
  <c r="L131" i="1"/>
  <c r="M133" i="1" s="1"/>
  <c r="P130" i="1"/>
  <c r="O130" i="1"/>
  <c r="O129" i="1"/>
  <c r="P129" i="1" s="1"/>
  <c r="P128" i="1"/>
  <c r="O128" i="1"/>
  <c r="O127" i="1"/>
  <c r="P127" i="1" s="1"/>
  <c r="P126" i="1"/>
  <c r="O126" i="1"/>
  <c r="O125" i="1"/>
  <c r="P125" i="1" s="1"/>
  <c r="P124" i="1"/>
  <c r="O124" i="1"/>
  <c r="O123" i="1"/>
  <c r="P123" i="1" s="1"/>
  <c r="P122" i="1"/>
  <c r="O122" i="1"/>
  <c r="P121" i="1"/>
  <c r="O121" i="1"/>
  <c r="P120" i="1"/>
  <c r="O120" i="1"/>
  <c r="O119" i="1"/>
  <c r="P119" i="1" s="1"/>
  <c r="P118" i="1"/>
  <c r="O118" i="1"/>
  <c r="O117" i="1"/>
  <c r="P117" i="1" s="1"/>
  <c r="P116" i="1"/>
  <c r="O116" i="1"/>
  <c r="O115" i="1"/>
  <c r="P115" i="1" s="1"/>
  <c r="P114" i="1"/>
  <c r="O114" i="1"/>
  <c r="O113" i="1"/>
  <c r="P113" i="1" s="1"/>
  <c r="P112" i="1"/>
  <c r="O112" i="1"/>
  <c r="O111" i="1"/>
  <c r="P111" i="1" s="1"/>
  <c r="P110" i="1"/>
  <c r="O110" i="1"/>
  <c r="O109" i="1"/>
  <c r="P109" i="1" s="1"/>
  <c r="P108" i="1"/>
  <c r="O108" i="1"/>
  <c r="O107" i="1"/>
  <c r="P107" i="1" s="1"/>
  <c r="P106" i="1"/>
  <c r="O106" i="1"/>
  <c r="O105" i="1"/>
  <c r="P105" i="1" s="1"/>
  <c r="P104" i="1"/>
  <c r="O104" i="1"/>
  <c r="O103" i="1"/>
  <c r="P103" i="1" s="1"/>
  <c r="P102" i="1"/>
  <c r="O102" i="1"/>
  <c r="O101" i="1"/>
  <c r="P101" i="1" s="1"/>
  <c r="P100" i="1"/>
  <c r="O100" i="1"/>
  <c r="O99" i="1"/>
  <c r="P99" i="1" s="1"/>
  <c r="P98" i="1"/>
  <c r="O98" i="1"/>
  <c r="O97" i="1"/>
  <c r="P97" i="1" s="1"/>
  <c r="P96" i="1"/>
  <c r="O96" i="1"/>
  <c r="P95" i="1"/>
  <c r="O95" i="1"/>
  <c r="P94" i="1"/>
  <c r="O94" i="1"/>
  <c r="O93" i="1"/>
  <c r="P93" i="1" s="1"/>
  <c r="P92" i="1"/>
  <c r="O92" i="1"/>
  <c r="O91" i="1"/>
  <c r="P91" i="1" s="1"/>
  <c r="P90" i="1"/>
  <c r="O90" i="1"/>
  <c r="P89" i="1"/>
  <c r="O89" i="1"/>
  <c r="P88" i="1"/>
  <c r="O88" i="1"/>
  <c r="O87" i="1"/>
  <c r="P87" i="1" s="1"/>
  <c r="P86" i="1"/>
  <c r="O86" i="1"/>
  <c r="P85" i="1"/>
  <c r="O85" i="1"/>
  <c r="P84" i="1"/>
  <c r="O84" i="1"/>
  <c r="P83" i="1"/>
  <c r="O83" i="1"/>
  <c r="P82" i="1"/>
  <c r="O82" i="1"/>
  <c r="O81" i="1"/>
  <c r="P81" i="1" s="1"/>
  <c r="P80" i="1"/>
  <c r="O80" i="1"/>
  <c r="O79" i="1"/>
  <c r="P79" i="1" s="1"/>
  <c r="P78" i="1"/>
  <c r="O78" i="1"/>
  <c r="O77" i="1"/>
  <c r="P77" i="1" s="1"/>
  <c r="P76" i="1"/>
  <c r="O76" i="1"/>
  <c r="O75" i="1"/>
  <c r="P75" i="1" s="1"/>
  <c r="P74" i="1"/>
  <c r="O74" i="1"/>
  <c r="O73" i="1"/>
  <c r="P73" i="1" s="1"/>
  <c r="P72" i="1"/>
  <c r="O72" i="1"/>
  <c r="O71" i="1"/>
  <c r="P71" i="1" s="1"/>
  <c r="P70" i="1"/>
  <c r="O70" i="1"/>
  <c r="O69" i="1"/>
  <c r="P69" i="1" s="1"/>
  <c r="P68" i="1"/>
  <c r="O68" i="1"/>
  <c r="P67" i="1"/>
  <c r="O67" i="1"/>
  <c r="P66" i="1"/>
  <c r="O66" i="1"/>
  <c r="O65" i="1"/>
  <c r="P65" i="1" s="1"/>
  <c r="P64" i="1"/>
  <c r="O64" i="1"/>
  <c r="O63" i="1"/>
  <c r="P63" i="1" s="1"/>
  <c r="P62" i="1"/>
  <c r="O62" i="1"/>
  <c r="O61" i="1"/>
  <c r="P61" i="1" s="1"/>
  <c r="P60" i="1"/>
  <c r="O60" i="1"/>
  <c r="O59" i="1"/>
  <c r="P59" i="1" s="1"/>
  <c r="P58" i="1"/>
  <c r="O58" i="1"/>
  <c r="O57" i="1"/>
  <c r="P57" i="1" s="1"/>
  <c r="P56" i="1"/>
  <c r="O56" i="1"/>
  <c r="O55" i="1"/>
  <c r="P55" i="1" s="1"/>
  <c r="P54" i="1"/>
  <c r="O54" i="1"/>
  <c r="O53" i="1"/>
  <c r="P53" i="1" s="1"/>
  <c r="P52" i="1"/>
  <c r="O52" i="1"/>
  <c r="P51" i="1"/>
  <c r="O51" i="1"/>
  <c r="P50" i="1"/>
  <c r="O50" i="1"/>
  <c r="O49" i="1"/>
  <c r="P49" i="1" s="1"/>
  <c r="P48" i="1"/>
  <c r="O48" i="1"/>
  <c r="O47" i="1"/>
  <c r="P47" i="1" s="1"/>
  <c r="P46" i="1"/>
  <c r="O46" i="1"/>
  <c r="O45" i="1"/>
  <c r="P45" i="1" s="1"/>
  <c r="P44" i="1"/>
  <c r="O44" i="1"/>
  <c r="O43" i="1"/>
  <c r="P43" i="1" s="1"/>
  <c r="P42" i="1"/>
  <c r="O42" i="1"/>
  <c r="P41" i="1"/>
  <c r="O41" i="1"/>
  <c r="P40" i="1"/>
  <c r="O40" i="1"/>
  <c r="O39" i="1"/>
  <c r="P39" i="1" s="1"/>
  <c r="P38" i="1"/>
  <c r="O38" i="1"/>
  <c r="O37" i="1"/>
  <c r="P37" i="1" s="1"/>
  <c r="P36" i="1"/>
  <c r="O36" i="1"/>
  <c r="O35" i="1"/>
  <c r="P35" i="1" s="1"/>
  <c r="P34" i="1"/>
  <c r="O34" i="1"/>
  <c r="O33" i="1"/>
  <c r="P33" i="1" s="1"/>
  <c r="P32" i="1"/>
  <c r="O32" i="1"/>
  <c r="O31" i="1"/>
  <c r="P31" i="1" s="1"/>
  <c r="P30" i="1"/>
  <c r="O30" i="1"/>
  <c r="P29" i="1"/>
  <c r="O29" i="1"/>
  <c r="P28" i="1"/>
  <c r="O28" i="1"/>
  <c r="O27" i="1"/>
  <c r="P27" i="1" s="1"/>
  <c r="P26" i="1"/>
  <c r="O26" i="1"/>
  <c r="P25" i="1"/>
  <c r="O25" i="1"/>
  <c r="P24" i="1"/>
  <c r="O24" i="1"/>
  <c r="O23" i="1"/>
  <c r="P23" i="1" s="1"/>
  <c r="P22" i="1"/>
  <c r="O22" i="1"/>
  <c r="O21" i="1"/>
  <c r="P21" i="1" s="1"/>
  <c r="P20" i="1"/>
  <c r="O20" i="1"/>
  <c r="O19" i="1"/>
  <c r="P19" i="1" s="1"/>
  <c r="P18" i="1"/>
  <c r="O18" i="1"/>
  <c r="O17" i="1"/>
  <c r="P17" i="1" s="1"/>
  <c r="P16" i="1"/>
  <c r="O16" i="1"/>
  <c r="O15" i="1"/>
  <c r="P15" i="1" s="1"/>
  <c r="P14" i="1"/>
  <c r="O14" i="1"/>
  <c r="O13" i="1"/>
  <c r="P13" i="1" s="1"/>
  <c r="P12" i="1"/>
  <c r="O12" i="1"/>
  <c r="O11" i="1"/>
  <c r="P11" i="1" s="1"/>
  <c r="P10" i="1"/>
  <c r="O10" i="1"/>
  <c r="O9" i="1"/>
  <c r="P9" i="1" s="1"/>
  <c r="P8" i="1"/>
  <c r="O8" i="1"/>
  <c r="O7" i="1"/>
  <c r="P7" i="1" s="1"/>
  <c r="P6" i="1"/>
  <c r="O6" i="1"/>
  <c r="O5" i="1"/>
  <c r="O131" i="1" s="1"/>
  <c r="S5" i="15" l="1"/>
  <c r="S15" i="15" s="1"/>
  <c r="M18" i="15" s="1"/>
  <c r="P131" i="1"/>
  <c r="M134" i="1"/>
  <c r="P5" i="1"/>
  <c r="M16" i="17" l="1"/>
  <c r="M31" i="16" l="1"/>
  <c r="M19" i="15" l="1"/>
  <c r="M65" i="14" l="1"/>
  <c r="M18" i="9" l="1"/>
</calcChain>
</file>

<file path=xl/sharedStrings.xml><?xml version="1.0" encoding="utf-8"?>
<sst xmlns="http://schemas.openxmlformats.org/spreadsheetml/2006/main" count="3221" uniqueCount="896">
  <si>
    <t>稼働開始日</t>
    <rPh sb="0" eb="2">
      <t>カドウ</t>
    </rPh>
    <rPh sb="2" eb="5">
      <t>カイシビ</t>
    </rPh>
    <phoneticPr fontId="1"/>
  </si>
  <si>
    <t>稼働終了日</t>
    <rPh sb="0" eb="2">
      <t>カドウ</t>
    </rPh>
    <rPh sb="2" eb="5">
      <t>シュウリョウビ</t>
    </rPh>
    <phoneticPr fontId="1"/>
  </si>
  <si>
    <t>案件元</t>
    <rPh sb="0" eb="2">
      <t>アンケン</t>
    </rPh>
    <rPh sb="2" eb="3">
      <t>モト</t>
    </rPh>
    <phoneticPr fontId="1"/>
  </si>
  <si>
    <t>所属会社</t>
    <rPh sb="0" eb="2">
      <t>ショゾク</t>
    </rPh>
    <rPh sb="2" eb="4">
      <t>カイシャ</t>
    </rPh>
    <phoneticPr fontId="1"/>
  </si>
  <si>
    <t>元請</t>
    <rPh sb="0" eb="2">
      <t>モトウ</t>
    </rPh>
    <phoneticPr fontId="1"/>
  </si>
  <si>
    <t>技術者名</t>
    <rPh sb="0" eb="3">
      <t>ギジュツシャ</t>
    </rPh>
    <rPh sb="3" eb="4">
      <t>メイ</t>
    </rPh>
    <phoneticPr fontId="1"/>
  </si>
  <si>
    <t>案件元営業</t>
    <rPh sb="0" eb="2">
      <t>アンケン</t>
    </rPh>
    <rPh sb="2" eb="3">
      <t>モト</t>
    </rPh>
    <rPh sb="3" eb="5">
      <t>エイギョウ</t>
    </rPh>
    <phoneticPr fontId="1"/>
  </si>
  <si>
    <t>所属会社営業</t>
    <rPh sb="0" eb="2">
      <t>ショゾク</t>
    </rPh>
    <rPh sb="2" eb="4">
      <t>カイシャ</t>
    </rPh>
    <rPh sb="4" eb="6">
      <t>エイギョウ</t>
    </rPh>
    <phoneticPr fontId="1"/>
  </si>
  <si>
    <t>売上</t>
    <rPh sb="0" eb="2">
      <t>ウリアゲ</t>
    </rPh>
    <phoneticPr fontId="1"/>
  </si>
  <si>
    <t>仕入</t>
    <rPh sb="0" eb="2">
      <t>シイレ</t>
    </rPh>
    <phoneticPr fontId="1"/>
  </si>
  <si>
    <t>粗利益</t>
    <rPh sb="0" eb="3">
      <t>アラリエキ</t>
    </rPh>
    <phoneticPr fontId="1"/>
  </si>
  <si>
    <t>法定福利</t>
    <rPh sb="0" eb="2">
      <t>ホウテイ</t>
    </rPh>
    <rPh sb="2" eb="4">
      <t>フクリ</t>
    </rPh>
    <phoneticPr fontId="1"/>
  </si>
  <si>
    <t>粗利率</t>
    <rPh sb="0" eb="2">
      <t>アラリ</t>
    </rPh>
    <rPh sb="2" eb="3">
      <t>リツ</t>
    </rPh>
    <phoneticPr fontId="1"/>
  </si>
  <si>
    <t>合計</t>
    <rPh sb="0" eb="2">
      <t>ゴウケイ</t>
    </rPh>
    <phoneticPr fontId="1"/>
  </si>
  <si>
    <t>エンド</t>
    <phoneticPr fontId="1"/>
  </si>
  <si>
    <t>スキル</t>
    <phoneticPr fontId="1"/>
  </si>
  <si>
    <t>グルーヴディレクション</t>
    <phoneticPr fontId="1"/>
  </si>
  <si>
    <t>第一生命</t>
    <rPh sb="0" eb="2">
      <t>ダイイチ</t>
    </rPh>
    <rPh sb="2" eb="4">
      <t>セイメイ</t>
    </rPh>
    <phoneticPr fontId="1"/>
  </si>
  <si>
    <t>システム情報</t>
    <rPh sb="4" eb="6">
      <t>ジョウホウ</t>
    </rPh>
    <phoneticPr fontId="1"/>
  </si>
  <si>
    <t>平均売上</t>
    <rPh sb="0" eb="2">
      <t>ヘイキン</t>
    </rPh>
    <rPh sb="2" eb="4">
      <t>ウリアゲ</t>
    </rPh>
    <phoneticPr fontId="1"/>
  </si>
  <si>
    <t>平均利益</t>
    <rPh sb="0" eb="2">
      <t>ヘイキン</t>
    </rPh>
    <rPh sb="2" eb="4">
      <t>リエキ</t>
    </rPh>
    <phoneticPr fontId="1"/>
  </si>
  <si>
    <t>稼働件数</t>
    <rPh sb="0" eb="2">
      <t>カドウ</t>
    </rPh>
    <rPh sb="2" eb="4">
      <t>ケンスウ</t>
    </rPh>
    <phoneticPr fontId="1"/>
  </si>
  <si>
    <t>渡辺</t>
    <rPh sb="0" eb="2">
      <t>ワタナベ</t>
    </rPh>
    <phoneticPr fontId="1"/>
  </si>
  <si>
    <t>Python</t>
    <phoneticPr fontId="1"/>
  </si>
  <si>
    <t>IIJ</t>
    <phoneticPr fontId="1"/>
  </si>
  <si>
    <t>能見　小塚</t>
    <rPh sb="0" eb="2">
      <t>ノウミ</t>
    </rPh>
    <rPh sb="3" eb="5">
      <t>コヅカ</t>
    </rPh>
    <phoneticPr fontId="1"/>
  </si>
  <si>
    <t>グルーヴディレクション</t>
    <phoneticPr fontId="1"/>
  </si>
  <si>
    <t>大倉</t>
    <rPh sb="0" eb="2">
      <t>オオクラ</t>
    </rPh>
    <phoneticPr fontId="1"/>
  </si>
  <si>
    <t>阿部　洋</t>
    <rPh sb="0" eb="2">
      <t>アベ</t>
    </rPh>
    <rPh sb="3" eb="4">
      <t>ヒロシ</t>
    </rPh>
    <phoneticPr fontId="1"/>
  </si>
  <si>
    <t>CISCO　設計構築</t>
    <rPh sb="6" eb="8">
      <t>セッケイ</t>
    </rPh>
    <rPh sb="8" eb="10">
      <t>コウチク</t>
    </rPh>
    <phoneticPr fontId="1"/>
  </si>
  <si>
    <t>河西工業</t>
    <rPh sb="0" eb="2">
      <t>カサイ</t>
    </rPh>
    <rPh sb="2" eb="4">
      <t>コウギョウ</t>
    </rPh>
    <phoneticPr fontId="1"/>
  </si>
  <si>
    <t>IIJ</t>
    <phoneticPr fontId="1"/>
  </si>
  <si>
    <t>牧村</t>
    <rPh sb="0" eb="2">
      <t>マキムラ</t>
    </rPh>
    <phoneticPr fontId="1"/>
  </si>
  <si>
    <t>グルーヴディレクション</t>
    <phoneticPr fontId="1"/>
  </si>
  <si>
    <t>大倉</t>
    <rPh sb="0" eb="2">
      <t>オオクラ</t>
    </rPh>
    <phoneticPr fontId="1"/>
  </si>
  <si>
    <t>インフラ系　PL</t>
    <rPh sb="4" eb="5">
      <t>ケイ</t>
    </rPh>
    <phoneticPr fontId="1"/>
  </si>
  <si>
    <t>岡村　雄之助</t>
    <rPh sb="0" eb="2">
      <t>オカムラ</t>
    </rPh>
    <rPh sb="3" eb="6">
      <t>ユウノスケ</t>
    </rPh>
    <phoneticPr fontId="1"/>
  </si>
  <si>
    <t>件数</t>
    <rPh sb="0" eb="2">
      <t>ケンスウ</t>
    </rPh>
    <phoneticPr fontId="1"/>
  </si>
  <si>
    <t>実売上</t>
    <rPh sb="0" eb="1">
      <t>ジツ</t>
    </rPh>
    <rPh sb="1" eb="3">
      <t>ウリアゲ</t>
    </rPh>
    <phoneticPr fontId="1"/>
  </si>
  <si>
    <t>実粗利</t>
    <rPh sb="0" eb="1">
      <t>ジツ</t>
    </rPh>
    <rPh sb="1" eb="3">
      <t>アラリ</t>
    </rPh>
    <phoneticPr fontId="1"/>
  </si>
  <si>
    <t>鈴木</t>
    <rPh sb="0" eb="2">
      <t>スズキ</t>
    </rPh>
    <phoneticPr fontId="1"/>
  </si>
  <si>
    <t>日本総研</t>
    <rPh sb="0" eb="2">
      <t>ニホン</t>
    </rPh>
    <rPh sb="2" eb="4">
      <t>ソウケン</t>
    </rPh>
    <phoneticPr fontId="1"/>
  </si>
  <si>
    <t>NRI</t>
    <phoneticPr fontId="1"/>
  </si>
  <si>
    <t>KDDI</t>
    <phoneticPr fontId="1"/>
  </si>
  <si>
    <t>システム情報</t>
    <rPh sb="4" eb="6">
      <t>ジョウホウ</t>
    </rPh>
    <phoneticPr fontId="1"/>
  </si>
  <si>
    <t>戸上</t>
    <rPh sb="0" eb="2">
      <t>トガミ</t>
    </rPh>
    <phoneticPr fontId="1"/>
  </si>
  <si>
    <t>トラストグロース</t>
    <phoneticPr fontId="1"/>
  </si>
  <si>
    <t>佐藤</t>
    <rPh sb="0" eb="2">
      <t>サトウ</t>
    </rPh>
    <phoneticPr fontId="1"/>
  </si>
  <si>
    <t>小島　博之</t>
    <phoneticPr fontId="1"/>
  </si>
  <si>
    <t>Open　COBOL</t>
    <phoneticPr fontId="1"/>
  </si>
  <si>
    <t>システム情報</t>
    <rPh sb="4" eb="6">
      <t>ジョウホウ</t>
    </rPh>
    <phoneticPr fontId="1"/>
  </si>
  <si>
    <t>大野</t>
    <rPh sb="0" eb="2">
      <t>オオノ</t>
    </rPh>
    <phoneticPr fontId="1"/>
  </si>
  <si>
    <t>エーエスジャパン</t>
    <phoneticPr fontId="1"/>
  </si>
  <si>
    <t>新保</t>
    <rPh sb="0" eb="2">
      <t>シンボ</t>
    </rPh>
    <phoneticPr fontId="1"/>
  </si>
  <si>
    <t>百崎　翼</t>
    <phoneticPr fontId="1"/>
  </si>
  <si>
    <t>Windows7　保守</t>
    <rPh sb="9" eb="11">
      <t>ホシュ</t>
    </rPh>
    <phoneticPr fontId="1"/>
  </si>
  <si>
    <t>かんぽ生命</t>
    <rPh sb="3" eb="5">
      <t>セイメイ</t>
    </rPh>
    <phoneticPr fontId="1"/>
  </si>
  <si>
    <t>梅原　菊池</t>
    <rPh sb="0" eb="2">
      <t>ウメハラ</t>
    </rPh>
    <rPh sb="3" eb="5">
      <t>キクチ</t>
    </rPh>
    <phoneticPr fontId="1"/>
  </si>
  <si>
    <t>アイキューブ</t>
    <phoneticPr fontId="1"/>
  </si>
  <si>
    <t>後藤</t>
    <rPh sb="0" eb="2">
      <t>ゴトウ</t>
    </rPh>
    <phoneticPr fontId="1"/>
  </si>
  <si>
    <t>鈴鹿　陽一</t>
    <phoneticPr fontId="1"/>
  </si>
  <si>
    <t>IBMホスト基盤</t>
    <rPh sb="6" eb="8">
      <t>キバン</t>
    </rPh>
    <phoneticPr fontId="1"/>
  </si>
  <si>
    <t>A-STAR</t>
    <phoneticPr fontId="1"/>
  </si>
  <si>
    <t>グルーヴディレクション</t>
    <phoneticPr fontId="1"/>
  </si>
  <si>
    <t>大倉</t>
    <rPh sb="0" eb="2">
      <t>オオクラ</t>
    </rPh>
    <phoneticPr fontId="1"/>
  </si>
  <si>
    <t>凸版印刷など</t>
    <rPh sb="0" eb="2">
      <t>トッパン</t>
    </rPh>
    <rPh sb="2" eb="4">
      <t>インサツ</t>
    </rPh>
    <phoneticPr fontId="1"/>
  </si>
  <si>
    <t>IIJ</t>
    <phoneticPr fontId="1"/>
  </si>
  <si>
    <t>小塚</t>
    <rPh sb="0" eb="2">
      <t>コヅカ</t>
    </rPh>
    <phoneticPr fontId="1"/>
  </si>
  <si>
    <t>大塚　浩太</t>
    <rPh sb="0" eb="2">
      <t>オオツカ</t>
    </rPh>
    <rPh sb="3" eb="5">
      <t>コウタ</t>
    </rPh>
    <phoneticPr fontId="1"/>
  </si>
  <si>
    <t>Linux　構築</t>
    <rPh sb="6" eb="8">
      <t>コウチク</t>
    </rPh>
    <phoneticPr fontId="1"/>
  </si>
  <si>
    <t>木村</t>
    <rPh sb="0" eb="2">
      <t>キムラ</t>
    </rPh>
    <phoneticPr fontId="1"/>
  </si>
  <si>
    <t>ソフトバンク</t>
    <phoneticPr fontId="1"/>
  </si>
  <si>
    <t>第一生命</t>
    <rPh sb="0" eb="2">
      <t>ダイイチ</t>
    </rPh>
    <rPh sb="2" eb="4">
      <t>セイメイ</t>
    </rPh>
    <phoneticPr fontId="1"/>
  </si>
  <si>
    <t>システム情報</t>
    <rPh sb="4" eb="6">
      <t>ジョウホウ</t>
    </rPh>
    <phoneticPr fontId="1"/>
  </si>
  <si>
    <t>山田</t>
    <rPh sb="0" eb="2">
      <t>ヤマダ</t>
    </rPh>
    <phoneticPr fontId="1"/>
  </si>
  <si>
    <t>グルーヴディレクション</t>
    <phoneticPr fontId="1"/>
  </si>
  <si>
    <t>大倉</t>
    <rPh sb="0" eb="2">
      <t>オオクラ</t>
    </rPh>
    <phoneticPr fontId="1"/>
  </si>
  <si>
    <t>大橋　竜也</t>
    <phoneticPr fontId="1"/>
  </si>
  <si>
    <t>JAVA</t>
    <phoneticPr fontId="1"/>
  </si>
  <si>
    <t>A-STAR</t>
    <phoneticPr fontId="1"/>
  </si>
  <si>
    <t>A-STAR</t>
    <phoneticPr fontId="1"/>
  </si>
  <si>
    <t>イメージ</t>
    <phoneticPr fontId="1"/>
  </si>
  <si>
    <t>森　安木</t>
    <rPh sb="0" eb="1">
      <t>モリ</t>
    </rPh>
    <rPh sb="2" eb="4">
      <t>ヤスキ</t>
    </rPh>
    <phoneticPr fontId="1"/>
  </si>
  <si>
    <t>富士通</t>
    <rPh sb="0" eb="3">
      <t>フジツウ</t>
    </rPh>
    <phoneticPr fontId="1"/>
  </si>
  <si>
    <t>アイエックスナレッジ</t>
    <phoneticPr fontId="1"/>
  </si>
  <si>
    <t>若尾　葛生</t>
    <rPh sb="0" eb="2">
      <t>ワカオ</t>
    </rPh>
    <rPh sb="3" eb="5">
      <t>クズウ</t>
    </rPh>
    <phoneticPr fontId="1"/>
  </si>
  <si>
    <t>グルーヴディレクション</t>
    <phoneticPr fontId="1"/>
  </si>
  <si>
    <t>木村</t>
    <rPh sb="0" eb="2">
      <t>キムラ</t>
    </rPh>
    <phoneticPr fontId="1"/>
  </si>
  <si>
    <t>テスト設計</t>
    <rPh sb="3" eb="5">
      <t>セッケイ</t>
    </rPh>
    <phoneticPr fontId="1"/>
  </si>
  <si>
    <t>A-STAR</t>
    <phoneticPr fontId="1"/>
  </si>
  <si>
    <t>菊池</t>
    <rPh sb="0" eb="2">
      <t>キクチ</t>
    </rPh>
    <phoneticPr fontId="1"/>
  </si>
  <si>
    <t>黒岩　明美</t>
    <phoneticPr fontId="1"/>
  </si>
  <si>
    <t>営業支援（黒岩）</t>
    <rPh sb="0" eb="2">
      <t>エイギョウ</t>
    </rPh>
    <rPh sb="2" eb="4">
      <t>シエン</t>
    </rPh>
    <rPh sb="5" eb="7">
      <t>クロイワ</t>
    </rPh>
    <phoneticPr fontId="1"/>
  </si>
  <si>
    <t>PHP</t>
    <phoneticPr fontId="1"/>
  </si>
  <si>
    <t>航空監査関連</t>
    <rPh sb="0" eb="2">
      <t>コウクウ</t>
    </rPh>
    <rPh sb="2" eb="4">
      <t>カンサ</t>
    </rPh>
    <rPh sb="4" eb="6">
      <t>カンレン</t>
    </rPh>
    <phoneticPr fontId="1"/>
  </si>
  <si>
    <t>サイバーコム</t>
    <phoneticPr fontId="1"/>
  </si>
  <si>
    <t>大坂</t>
    <rPh sb="0" eb="2">
      <t>オオサカ</t>
    </rPh>
    <phoneticPr fontId="1"/>
  </si>
  <si>
    <t>シャフト</t>
    <phoneticPr fontId="1"/>
  </si>
  <si>
    <t>上原</t>
    <rPh sb="0" eb="2">
      <t>ウエハラ</t>
    </rPh>
    <phoneticPr fontId="1"/>
  </si>
  <si>
    <t>澤田　敏幸</t>
    <phoneticPr fontId="1"/>
  </si>
  <si>
    <t>JavaScript</t>
    <phoneticPr fontId="1"/>
  </si>
  <si>
    <t>インフォセンス</t>
    <phoneticPr fontId="1"/>
  </si>
  <si>
    <t>中川</t>
    <rPh sb="0" eb="2">
      <t>ナカガワ</t>
    </rPh>
    <phoneticPr fontId="1"/>
  </si>
  <si>
    <t>IMS</t>
    <phoneticPr fontId="1"/>
  </si>
  <si>
    <t>玉井</t>
    <rPh sb="0" eb="2">
      <t>タマイ</t>
    </rPh>
    <phoneticPr fontId="1"/>
  </si>
  <si>
    <t>間山　雄介</t>
    <phoneticPr fontId="1"/>
  </si>
  <si>
    <t>VB.NET　PL/SQL</t>
    <phoneticPr fontId="1"/>
  </si>
  <si>
    <t>ソニー</t>
    <phoneticPr fontId="1"/>
  </si>
  <si>
    <t>NTT関連</t>
    <rPh sb="3" eb="5">
      <t>カンレン</t>
    </rPh>
    <phoneticPr fontId="1"/>
  </si>
  <si>
    <t>サイバーミッションズ</t>
    <phoneticPr fontId="1"/>
  </si>
  <si>
    <t>田中</t>
    <rPh sb="0" eb="2">
      <t>タナカ</t>
    </rPh>
    <phoneticPr fontId="1"/>
  </si>
  <si>
    <t>ブロードバンドテクノロジーコンサルティング　</t>
    <phoneticPr fontId="1"/>
  </si>
  <si>
    <t>小坂田</t>
    <phoneticPr fontId="1"/>
  </si>
  <si>
    <t>原口　秀康</t>
    <phoneticPr fontId="1"/>
  </si>
  <si>
    <t>PHP</t>
    <phoneticPr fontId="1"/>
  </si>
  <si>
    <t>ドコモ</t>
    <phoneticPr fontId="1"/>
  </si>
  <si>
    <t>舟山</t>
    <phoneticPr fontId="1"/>
  </si>
  <si>
    <t>ロケットウェブ</t>
    <phoneticPr fontId="1"/>
  </si>
  <si>
    <t>カスタマトリックス</t>
    <phoneticPr fontId="1"/>
  </si>
  <si>
    <t>COBOL</t>
    <phoneticPr fontId="1"/>
  </si>
  <si>
    <t>新保　田村</t>
    <rPh sb="0" eb="2">
      <t>シンボ</t>
    </rPh>
    <rPh sb="3" eb="5">
      <t>タムラ</t>
    </rPh>
    <phoneticPr fontId="1"/>
  </si>
  <si>
    <t>渡辺</t>
    <phoneticPr fontId="1"/>
  </si>
  <si>
    <t>ソニー銀行</t>
    <rPh sb="3" eb="5">
      <t>ギンコウ</t>
    </rPh>
    <phoneticPr fontId="1"/>
  </si>
  <si>
    <t>富士通</t>
    <rPh sb="0" eb="3">
      <t>フジツウ</t>
    </rPh>
    <phoneticPr fontId="1"/>
  </si>
  <si>
    <t>システムソリューション</t>
    <phoneticPr fontId="1"/>
  </si>
  <si>
    <t>遠藤</t>
    <rPh sb="0" eb="2">
      <t>エンドウ</t>
    </rPh>
    <phoneticPr fontId="1"/>
  </si>
  <si>
    <t>芳賀　崇史</t>
    <phoneticPr fontId="1"/>
  </si>
  <si>
    <t>ProC</t>
    <phoneticPr fontId="1"/>
  </si>
  <si>
    <t>医療関連システム会社</t>
    <rPh sb="0" eb="2">
      <t>イリョウ</t>
    </rPh>
    <rPh sb="2" eb="4">
      <t>カンレン</t>
    </rPh>
    <rPh sb="8" eb="10">
      <t>カイシャ</t>
    </rPh>
    <phoneticPr fontId="1"/>
  </si>
  <si>
    <t>マクニカソリューションズ</t>
    <phoneticPr fontId="1"/>
  </si>
  <si>
    <t>齊藤</t>
    <rPh sb="0" eb="2">
      <t>サイトウ</t>
    </rPh>
    <phoneticPr fontId="1"/>
  </si>
  <si>
    <t>グルーヴディレクション</t>
    <phoneticPr fontId="1"/>
  </si>
  <si>
    <t>大倉</t>
    <rPh sb="0" eb="2">
      <t>オオクラ</t>
    </rPh>
    <phoneticPr fontId="1"/>
  </si>
  <si>
    <t>本間　ゆう</t>
    <rPh sb="0" eb="2">
      <t>ホンマ</t>
    </rPh>
    <phoneticPr fontId="1"/>
  </si>
  <si>
    <t>アシスタント業務</t>
    <rPh sb="6" eb="8">
      <t>ギョウム</t>
    </rPh>
    <phoneticPr fontId="1"/>
  </si>
  <si>
    <t>ソフトバンクテクノロジー</t>
    <phoneticPr fontId="1"/>
  </si>
  <si>
    <t>田中　小熊</t>
    <phoneticPr fontId="1"/>
  </si>
  <si>
    <t>イングッドフェイス</t>
    <phoneticPr fontId="1"/>
  </si>
  <si>
    <t>蓮見</t>
    <rPh sb="0" eb="2">
      <t>ハスミ</t>
    </rPh>
    <phoneticPr fontId="1"/>
  </si>
  <si>
    <t>佐々木　雄大</t>
    <phoneticPr fontId="1"/>
  </si>
  <si>
    <t>英語　情シス　運用</t>
    <rPh sb="0" eb="2">
      <t>エイゴ</t>
    </rPh>
    <rPh sb="3" eb="4">
      <t>ジョウ</t>
    </rPh>
    <rPh sb="7" eb="9">
      <t>ウンヨウ</t>
    </rPh>
    <phoneticPr fontId="1"/>
  </si>
  <si>
    <t>アクロフロンティア</t>
    <phoneticPr fontId="1"/>
  </si>
  <si>
    <t>稲葉（小熊）</t>
    <rPh sb="3" eb="5">
      <t>オグマ</t>
    </rPh>
    <phoneticPr fontId="1"/>
  </si>
  <si>
    <t>NEC</t>
    <phoneticPr fontId="1"/>
  </si>
  <si>
    <t>ニスコム</t>
    <phoneticPr fontId="1"/>
  </si>
  <si>
    <t>武田</t>
    <rPh sb="0" eb="2">
      <t>タケダ</t>
    </rPh>
    <phoneticPr fontId="1"/>
  </si>
  <si>
    <t>大倉</t>
    <rPh sb="0" eb="2">
      <t>オオクラ</t>
    </rPh>
    <phoneticPr fontId="1"/>
  </si>
  <si>
    <t>石郷岡　勇介</t>
    <phoneticPr fontId="1"/>
  </si>
  <si>
    <t>NW構築</t>
    <rPh sb="2" eb="4">
      <t>コウチク</t>
    </rPh>
    <phoneticPr fontId="1"/>
  </si>
  <si>
    <t>損保ジャパン</t>
    <rPh sb="0" eb="2">
      <t>ソンポ</t>
    </rPh>
    <phoneticPr fontId="1"/>
  </si>
  <si>
    <t>藤江</t>
    <rPh sb="0" eb="2">
      <t>フジエ</t>
    </rPh>
    <phoneticPr fontId="1"/>
  </si>
  <si>
    <t>NTTデータ</t>
    <phoneticPr fontId="1"/>
  </si>
  <si>
    <t>アクロネット</t>
    <phoneticPr fontId="1"/>
  </si>
  <si>
    <t>大橋</t>
    <rPh sb="0" eb="2">
      <t>オオハシ</t>
    </rPh>
    <phoneticPr fontId="1"/>
  </si>
  <si>
    <t>大倉</t>
    <rPh sb="0" eb="2">
      <t>オオクラ</t>
    </rPh>
    <phoneticPr fontId="1"/>
  </si>
  <si>
    <t>浅井　幹普</t>
    <phoneticPr fontId="1"/>
  </si>
  <si>
    <t>Office365</t>
    <phoneticPr fontId="1"/>
  </si>
  <si>
    <t>立正大学</t>
    <rPh sb="0" eb="2">
      <t>リッショウ</t>
    </rPh>
    <rPh sb="2" eb="4">
      <t>ダイガク</t>
    </rPh>
    <phoneticPr fontId="1"/>
  </si>
  <si>
    <t>エスエイティティー</t>
    <phoneticPr fontId="1"/>
  </si>
  <si>
    <t>ロケットウェブ</t>
    <phoneticPr fontId="1"/>
  </si>
  <si>
    <t>大樹</t>
    <rPh sb="0" eb="2">
      <t>オオキ</t>
    </rPh>
    <phoneticPr fontId="1"/>
  </si>
  <si>
    <t>大倉</t>
    <rPh sb="0" eb="2">
      <t>オオクラ</t>
    </rPh>
    <phoneticPr fontId="1"/>
  </si>
  <si>
    <t>田中　誠</t>
    <rPh sb="3" eb="4">
      <t>マコト</t>
    </rPh>
    <phoneticPr fontId="1"/>
  </si>
  <si>
    <t>情シスサポート</t>
    <rPh sb="0" eb="1">
      <t>ジョウ</t>
    </rPh>
    <phoneticPr fontId="1"/>
  </si>
  <si>
    <t>営業支援（田中）</t>
    <rPh sb="0" eb="2">
      <t>エイギョウ</t>
    </rPh>
    <rPh sb="2" eb="4">
      <t>シエン</t>
    </rPh>
    <rPh sb="5" eb="7">
      <t>タナカ</t>
    </rPh>
    <phoneticPr fontId="1"/>
  </si>
  <si>
    <t>アーク</t>
    <phoneticPr fontId="1"/>
  </si>
  <si>
    <t>井上</t>
    <rPh sb="0" eb="2">
      <t>イノウエ</t>
    </rPh>
    <phoneticPr fontId="1"/>
  </si>
  <si>
    <t>ネクストクオリティ</t>
    <phoneticPr fontId="1"/>
  </si>
  <si>
    <t>齋藤</t>
    <phoneticPr fontId="1"/>
  </si>
  <si>
    <t>千葉　美堂</t>
    <phoneticPr fontId="1"/>
  </si>
  <si>
    <t>Excel　VBA</t>
    <phoneticPr fontId="1"/>
  </si>
  <si>
    <t>エスティーシー</t>
    <phoneticPr fontId="1"/>
  </si>
  <si>
    <t>富士情報</t>
    <rPh sb="0" eb="2">
      <t>フジ</t>
    </rPh>
    <rPh sb="2" eb="4">
      <t>ジョウホウ</t>
    </rPh>
    <phoneticPr fontId="1"/>
  </si>
  <si>
    <t>IBM</t>
    <phoneticPr fontId="1"/>
  </si>
  <si>
    <t>通信キャリア</t>
    <rPh sb="0" eb="2">
      <t>ツウシン</t>
    </rPh>
    <phoneticPr fontId="1"/>
  </si>
  <si>
    <t>システム情報</t>
    <rPh sb="4" eb="6">
      <t>ジョウホウ</t>
    </rPh>
    <phoneticPr fontId="1"/>
  </si>
  <si>
    <t>鈴木</t>
    <rPh sb="0" eb="2">
      <t>スズキ</t>
    </rPh>
    <phoneticPr fontId="1"/>
  </si>
  <si>
    <t>永松　宏規</t>
    <phoneticPr fontId="1"/>
  </si>
  <si>
    <t>スカパーJSAT</t>
    <phoneticPr fontId="1"/>
  </si>
  <si>
    <t>NTTデータ</t>
    <phoneticPr fontId="1"/>
  </si>
  <si>
    <t>エー・エス・シー</t>
    <phoneticPr fontId="1"/>
  </si>
  <si>
    <t>近藤　良春</t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</si>
  <si>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</si>
  <si>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</si>
  <si>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木村</t>
    <rPh sb="0" eb="2">
      <t>キムラ</t>
    </rPh>
    <phoneticPr fontId="1"/>
  </si>
  <si>
    <t>伊藤　俊宏</t>
    <phoneticPr fontId="1"/>
  </si>
  <si>
    <t>社員代替</t>
    <rPh sb="0" eb="2">
      <t>シャイン</t>
    </rPh>
    <rPh sb="2" eb="4">
      <t>ダイタイ</t>
    </rPh>
    <phoneticPr fontId="1"/>
  </si>
  <si>
    <t>営業支援（伊藤）</t>
    <rPh sb="0" eb="2">
      <t>エイギョウ</t>
    </rPh>
    <rPh sb="2" eb="4">
      <t>シエン</t>
    </rPh>
    <rPh sb="5" eb="7">
      <t>イトウ</t>
    </rPh>
    <phoneticPr fontId="1"/>
  </si>
  <si>
    <t>キャロルシステム</t>
    <phoneticPr fontId="1"/>
  </si>
  <si>
    <t>ライプ</t>
    <phoneticPr fontId="1"/>
  </si>
  <si>
    <t>システムインテグレータ</t>
    <phoneticPr fontId="1"/>
  </si>
  <si>
    <t>吉村</t>
    <rPh sb="0" eb="2">
      <t>ヨシムラ</t>
    </rPh>
    <phoneticPr fontId="1"/>
  </si>
  <si>
    <t>ネットユーコム</t>
    <phoneticPr fontId="1"/>
  </si>
  <si>
    <t>小山</t>
    <rPh sb="0" eb="2">
      <t>コヤマ</t>
    </rPh>
    <phoneticPr fontId="1"/>
  </si>
  <si>
    <t>神田　正人</t>
    <phoneticPr fontId="1"/>
  </si>
  <si>
    <t>C#　GRANDIT</t>
    <phoneticPr fontId="1"/>
  </si>
  <si>
    <t>フェイスワン</t>
    <phoneticPr fontId="1"/>
  </si>
  <si>
    <t>富室</t>
    <rPh sb="0" eb="2">
      <t>トミムロ</t>
    </rPh>
    <phoneticPr fontId="1"/>
  </si>
  <si>
    <t>日高　葵衣</t>
    <phoneticPr fontId="1"/>
  </si>
  <si>
    <t>キッティング</t>
    <phoneticPr fontId="1"/>
  </si>
  <si>
    <t>NTTデータ</t>
    <phoneticPr fontId="1"/>
  </si>
  <si>
    <t>中野</t>
    <rPh sb="0" eb="2">
      <t>ナカノ</t>
    </rPh>
    <phoneticPr fontId="1"/>
  </si>
  <si>
    <t>大倉</t>
    <rPh sb="0" eb="2">
      <t>オオクラ</t>
    </rPh>
    <phoneticPr fontId="1"/>
  </si>
  <si>
    <t>平塚　健夫</t>
    <phoneticPr fontId="1"/>
  </si>
  <si>
    <t>DB設計構築</t>
    <rPh sb="2" eb="4">
      <t>セッケイ</t>
    </rPh>
    <rPh sb="4" eb="6">
      <t>コウチク</t>
    </rPh>
    <phoneticPr fontId="1"/>
  </si>
  <si>
    <t>営業支援（平塚）</t>
    <rPh sb="0" eb="2">
      <t>エイギョウ</t>
    </rPh>
    <rPh sb="2" eb="4">
      <t>シエン</t>
    </rPh>
    <rPh sb="5" eb="7">
      <t>ヒラツカ</t>
    </rPh>
    <phoneticPr fontId="1"/>
  </si>
  <si>
    <t>リコー</t>
    <phoneticPr fontId="1"/>
  </si>
  <si>
    <t>BTC</t>
    <phoneticPr fontId="1"/>
  </si>
  <si>
    <t>木村</t>
    <rPh sb="0" eb="1">
      <t>キ</t>
    </rPh>
    <rPh sb="1" eb="2">
      <t>ムラ</t>
    </rPh>
    <phoneticPr fontId="1"/>
  </si>
  <si>
    <t>MS＆AD</t>
    <phoneticPr fontId="1"/>
  </si>
  <si>
    <t>システムエグゼ</t>
    <phoneticPr fontId="1"/>
  </si>
  <si>
    <t>大河原</t>
    <rPh sb="0" eb="3">
      <t>オオカワラ</t>
    </rPh>
    <phoneticPr fontId="1"/>
  </si>
  <si>
    <t>井上</t>
    <rPh sb="0" eb="2">
      <t>イノウエ</t>
    </rPh>
    <phoneticPr fontId="1"/>
  </si>
  <si>
    <t>篠崎　大輔</t>
    <rPh sb="0" eb="2">
      <t>シノザキ</t>
    </rPh>
    <rPh sb="3" eb="5">
      <t>ダイスケ</t>
    </rPh>
    <phoneticPr fontId="1"/>
  </si>
  <si>
    <t>COBOL</t>
    <phoneticPr fontId="1"/>
  </si>
  <si>
    <t>ALSOK</t>
    <phoneticPr fontId="1"/>
  </si>
  <si>
    <t>ハイマックス</t>
    <phoneticPr fontId="1"/>
  </si>
  <si>
    <t>佐々木</t>
    <rPh sb="0" eb="3">
      <t>ササキ</t>
    </rPh>
    <phoneticPr fontId="1"/>
  </si>
  <si>
    <t>テントセント</t>
    <phoneticPr fontId="1"/>
  </si>
  <si>
    <t>宇夫方</t>
    <rPh sb="0" eb="3">
      <t>ウブカタ</t>
    </rPh>
    <phoneticPr fontId="1"/>
  </si>
  <si>
    <t>池田　亨</t>
    <phoneticPr fontId="1"/>
  </si>
  <si>
    <t>Windows　運用</t>
    <rPh sb="8" eb="10">
      <t>ウンヨウ</t>
    </rPh>
    <phoneticPr fontId="1"/>
  </si>
  <si>
    <t>ECサイト運用　OP</t>
    <rPh sb="5" eb="7">
      <t>ウンヨウ</t>
    </rPh>
    <phoneticPr fontId="1"/>
  </si>
  <si>
    <t>ユニクロ</t>
    <phoneticPr fontId="1"/>
  </si>
  <si>
    <t>日立システムズ</t>
    <rPh sb="0" eb="2">
      <t>ヒタチ</t>
    </rPh>
    <phoneticPr fontId="1"/>
  </si>
  <si>
    <t>生保</t>
    <rPh sb="0" eb="2">
      <t>セイホ</t>
    </rPh>
    <phoneticPr fontId="1"/>
  </si>
  <si>
    <t>ユーエスイー</t>
    <phoneticPr fontId="1"/>
  </si>
  <si>
    <t>絵面　北中</t>
    <phoneticPr fontId="1"/>
  </si>
  <si>
    <t>大倉</t>
    <rPh sb="0" eb="2">
      <t>オオクラ</t>
    </rPh>
    <phoneticPr fontId="1"/>
  </si>
  <si>
    <t>進　直樹</t>
    <phoneticPr fontId="1"/>
  </si>
  <si>
    <t>JAVA</t>
    <phoneticPr fontId="1"/>
  </si>
  <si>
    <t>米田　柳木</t>
    <rPh sb="0" eb="2">
      <t>ヨネダ</t>
    </rPh>
    <rPh sb="3" eb="4">
      <t>ヤナギ</t>
    </rPh>
    <rPh sb="4" eb="5">
      <t>キ</t>
    </rPh>
    <phoneticPr fontId="1"/>
  </si>
  <si>
    <t>ソフトバンク</t>
    <phoneticPr fontId="1"/>
  </si>
  <si>
    <t>稲葉　金</t>
    <rPh sb="3" eb="4">
      <t>キン</t>
    </rPh>
    <phoneticPr fontId="1"/>
  </si>
  <si>
    <t>大倉</t>
    <rPh sb="0" eb="2">
      <t>オオクラ</t>
    </rPh>
    <phoneticPr fontId="1"/>
  </si>
  <si>
    <t>新堀　一斗</t>
    <rPh sb="0" eb="2">
      <t>ニイボリ</t>
    </rPh>
    <rPh sb="3" eb="5">
      <t>イット</t>
    </rPh>
    <phoneticPr fontId="1"/>
  </si>
  <si>
    <t>RPA</t>
    <phoneticPr fontId="1"/>
  </si>
  <si>
    <t>ヘルプデスク</t>
    <phoneticPr fontId="1"/>
  </si>
  <si>
    <t>製造</t>
    <rPh sb="0" eb="2">
      <t>セイゾウ</t>
    </rPh>
    <phoneticPr fontId="1"/>
  </si>
  <si>
    <t>寺岡</t>
    <rPh sb="0" eb="2">
      <t>テラオカ</t>
    </rPh>
    <phoneticPr fontId="1"/>
  </si>
  <si>
    <t>金田</t>
    <rPh sb="0" eb="2">
      <t>カネダ</t>
    </rPh>
    <phoneticPr fontId="1"/>
  </si>
  <si>
    <t>中野　聡</t>
    <phoneticPr fontId="1"/>
  </si>
  <si>
    <t>VB.NET</t>
    <phoneticPr fontId="1"/>
  </si>
  <si>
    <t>エイプルジャパン</t>
    <phoneticPr fontId="1"/>
  </si>
  <si>
    <t>遠藤</t>
    <rPh sb="0" eb="2">
      <t>エンドウ</t>
    </rPh>
    <phoneticPr fontId="1"/>
  </si>
  <si>
    <t>小林　悠真</t>
    <phoneticPr fontId="1"/>
  </si>
  <si>
    <t>設計　受入テスト</t>
    <rPh sb="0" eb="2">
      <t>セッケイ</t>
    </rPh>
    <rPh sb="3" eb="5">
      <t>ウケイレ</t>
    </rPh>
    <phoneticPr fontId="1"/>
  </si>
  <si>
    <t>絵面　菊池</t>
    <rPh sb="3" eb="5">
      <t>キクチ</t>
    </rPh>
    <phoneticPr fontId="1"/>
  </si>
  <si>
    <t>損保ジャパン</t>
    <rPh sb="0" eb="2">
      <t>ソンポ</t>
    </rPh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</si>
  <si>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</si>
  <si>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</si>
  <si>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成嶋</t>
    <rPh sb="0" eb="2">
      <t>ナリシマ</t>
    </rPh>
    <phoneticPr fontId="1"/>
  </si>
  <si>
    <t>佐藤　祐紀</t>
    <phoneticPr fontId="1"/>
  </si>
  <si>
    <t>システム運用</t>
    <rPh sb="4" eb="6">
      <t>ウンヨウ</t>
    </rPh>
    <phoneticPr fontId="1"/>
  </si>
  <si>
    <t>マニュライフ生命</t>
    <rPh sb="6" eb="8">
      <t>セイメイ</t>
    </rPh>
    <phoneticPr fontId="1"/>
  </si>
  <si>
    <t>システムエグゼ</t>
    <phoneticPr fontId="1"/>
  </si>
  <si>
    <t>アイエム</t>
    <phoneticPr fontId="1"/>
  </si>
  <si>
    <t>小松</t>
    <rPh sb="0" eb="2">
      <t>コマツ</t>
    </rPh>
    <phoneticPr fontId="1"/>
  </si>
  <si>
    <t>K&amp;Kソフト</t>
    <phoneticPr fontId="1"/>
  </si>
  <si>
    <t>中峰</t>
    <rPh sb="0" eb="2">
      <t>ナカミネ</t>
    </rPh>
    <phoneticPr fontId="1"/>
  </si>
  <si>
    <t>金　恩鎬</t>
    <phoneticPr fontId="1"/>
  </si>
  <si>
    <t>JAVA</t>
    <phoneticPr fontId="1"/>
  </si>
  <si>
    <t>SATT</t>
    <phoneticPr fontId="1"/>
  </si>
  <si>
    <t>大樹</t>
    <rPh sb="0" eb="2">
      <t>オオキ</t>
    </rPh>
    <phoneticPr fontId="1"/>
  </si>
  <si>
    <t>ランコム</t>
    <phoneticPr fontId="1"/>
  </si>
  <si>
    <t>大石</t>
    <rPh sb="0" eb="2">
      <t>オオイシ</t>
    </rPh>
    <phoneticPr fontId="1"/>
  </si>
  <si>
    <t>後藤　有紀子</t>
    <phoneticPr fontId="1"/>
  </si>
  <si>
    <t>SATT</t>
    <phoneticPr fontId="1"/>
  </si>
  <si>
    <t>大樹</t>
    <rPh sb="0" eb="2">
      <t>オオキ</t>
    </rPh>
    <phoneticPr fontId="1"/>
  </si>
  <si>
    <t>オーエンス</t>
    <phoneticPr fontId="1"/>
  </si>
  <si>
    <t>萩原</t>
    <rPh sb="0" eb="2">
      <t>ハギワラ</t>
    </rPh>
    <phoneticPr fontId="1"/>
  </si>
  <si>
    <t>久保　登</t>
    <phoneticPr fontId="1"/>
  </si>
  <si>
    <t>AS400　COBOL</t>
    <phoneticPr fontId="1"/>
  </si>
  <si>
    <t>システム情報</t>
    <rPh sb="4" eb="6">
      <t>ジョウホウ</t>
    </rPh>
    <phoneticPr fontId="1"/>
  </si>
  <si>
    <t>大倉</t>
    <rPh sb="0" eb="2">
      <t>オオクラ</t>
    </rPh>
    <phoneticPr fontId="1"/>
  </si>
  <si>
    <t>安里　和陽</t>
    <phoneticPr fontId="1"/>
  </si>
  <si>
    <t>C#</t>
    <phoneticPr fontId="1"/>
  </si>
  <si>
    <t>営業支援（安里）</t>
    <rPh sb="0" eb="2">
      <t>エイギョウ</t>
    </rPh>
    <rPh sb="2" eb="4">
      <t>シエン</t>
    </rPh>
    <rPh sb="5" eb="7">
      <t>アサト</t>
    </rPh>
    <phoneticPr fontId="1"/>
  </si>
  <si>
    <t>システム情報</t>
    <rPh sb="4" eb="6">
      <t>ジョウホウ</t>
    </rPh>
    <phoneticPr fontId="1"/>
  </si>
  <si>
    <t>遠藤</t>
    <rPh sb="0" eb="2">
      <t>エンドウ</t>
    </rPh>
    <phoneticPr fontId="1"/>
  </si>
  <si>
    <t>大倉</t>
    <rPh sb="0" eb="2">
      <t>オオクラ</t>
    </rPh>
    <phoneticPr fontId="1"/>
  </si>
  <si>
    <t>渋谷　一帆</t>
    <phoneticPr fontId="1"/>
  </si>
  <si>
    <t>Java　Bizbrowser</t>
    <phoneticPr fontId="1"/>
  </si>
  <si>
    <t>NTTデータ</t>
    <phoneticPr fontId="1"/>
  </si>
  <si>
    <t>リーセントテクノロジー</t>
    <phoneticPr fontId="1"/>
  </si>
  <si>
    <t>林</t>
    <rPh sb="0" eb="1">
      <t>ハヤシ</t>
    </rPh>
    <phoneticPr fontId="1"/>
  </si>
  <si>
    <t>コンパス</t>
    <phoneticPr fontId="1"/>
  </si>
  <si>
    <t>塚原</t>
    <rPh sb="0" eb="2">
      <t>ツカハラ</t>
    </rPh>
    <phoneticPr fontId="1"/>
  </si>
  <si>
    <t>宿利　義也</t>
    <phoneticPr fontId="1"/>
  </si>
  <si>
    <t>JFEスチール</t>
    <phoneticPr fontId="1"/>
  </si>
  <si>
    <t>JIEC</t>
    <phoneticPr fontId="1"/>
  </si>
  <si>
    <t>ソリューションラボ・横浜</t>
    <phoneticPr fontId="1"/>
  </si>
  <si>
    <t>加藤</t>
    <rPh sb="0" eb="2">
      <t>カトウ</t>
    </rPh>
    <phoneticPr fontId="1"/>
  </si>
  <si>
    <t>日本インフィニティー</t>
    <rPh sb="0" eb="2">
      <t>ニホン</t>
    </rPh>
    <phoneticPr fontId="1"/>
  </si>
  <si>
    <t>菊田</t>
    <rPh sb="0" eb="2">
      <t>キクタ</t>
    </rPh>
    <phoneticPr fontId="1"/>
  </si>
  <si>
    <t>菊田　節</t>
    <rPh sb="0" eb="2">
      <t>キクタ</t>
    </rPh>
    <phoneticPr fontId="1"/>
  </si>
  <si>
    <t>ティーエス</t>
    <phoneticPr fontId="1"/>
  </si>
  <si>
    <t>エム・エス・アイ</t>
    <phoneticPr fontId="1"/>
  </si>
  <si>
    <t>田中</t>
    <rPh sb="0" eb="2">
      <t>タナカ</t>
    </rPh>
    <phoneticPr fontId="1"/>
  </si>
  <si>
    <t>大倉</t>
    <rPh sb="0" eb="2">
      <t>オオクラ</t>
    </rPh>
    <phoneticPr fontId="1"/>
  </si>
  <si>
    <t>谷内　康則</t>
    <phoneticPr fontId="1"/>
  </si>
  <si>
    <t>C++　VC++</t>
    <phoneticPr fontId="1"/>
  </si>
  <si>
    <t>三重銀行</t>
    <rPh sb="0" eb="2">
      <t>ミエ</t>
    </rPh>
    <rPh sb="2" eb="4">
      <t>ギンコウ</t>
    </rPh>
    <phoneticPr fontId="1"/>
  </si>
  <si>
    <t>日立</t>
    <rPh sb="0" eb="2">
      <t>ヒタチ</t>
    </rPh>
    <phoneticPr fontId="1"/>
  </si>
  <si>
    <t>シーアンドエーソリューション</t>
    <phoneticPr fontId="1"/>
  </si>
  <si>
    <t>黒澤</t>
    <rPh sb="0" eb="2">
      <t>クロサワ</t>
    </rPh>
    <phoneticPr fontId="1"/>
  </si>
  <si>
    <t>大倉</t>
    <rPh sb="0" eb="2">
      <t>オオクラ</t>
    </rPh>
    <phoneticPr fontId="1"/>
  </si>
  <si>
    <t>村司　晴敏</t>
    <phoneticPr fontId="1"/>
  </si>
  <si>
    <t>BeSTA</t>
    <phoneticPr fontId="1"/>
  </si>
  <si>
    <t>CST</t>
    <phoneticPr fontId="1"/>
  </si>
  <si>
    <t>NTTデータビジネスシステムズ</t>
    <phoneticPr fontId="1"/>
  </si>
  <si>
    <t>伏見　熊谷</t>
    <rPh sb="0" eb="2">
      <t>フシミ</t>
    </rPh>
    <rPh sb="3" eb="5">
      <t>クマガイ</t>
    </rPh>
    <phoneticPr fontId="1"/>
  </si>
  <si>
    <t>損保ジャパン</t>
    <rPh sb="0" eb="2">
      <t>ソンポ</t>
    </rPh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</si>
  <si>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</si>
  <si>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</si>
  <si>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イーサーブ</t>
    <phoneticPr fontId="1"/>
  </si>
  <si>
    <t>丹波　英史</t>
    <phoneticPr fontId="1"/>
  </si>
  <si>
    <t>各社</t>
    <rPh sb="0" eb="2">
      <t>カクシャ</t>
    </rPh>
    <phoneticPr fontId="1"/>
  </si>
  <si>
    <t>クレジット</t>
    <phoneticPr fontId="1"/>
  </si>
  <si>
    <t>各社</t>
    <rPh sb="0" eb="2">
      <t>カクシャ</t>
    </rPh>
    <phoneticPr fontId="1"/>
  </si>
  <si>
    <t>駿台</t>
    <rPh sb="0" eb="2">
      <t>スンダイ</t>
    </rPh>
    <phoneticPr fontId="1"/>
  </si>
  <si>
    <t>フュージョニア</t>
    <phoneticPr fontId="1"/>
  </si>
  <si>
    <t>楽天</t>
    <rPh sb="0" eb="2">
      <t>ラクテン</t>
    </rPh>
    <phoneticPr fontId="1"/>
  </si>
  <si>
    <t>ミライト</t>
    <phoneticPr fontId="1"/>
  </si>
  <si>
    <t>舘岡</t>
    <phoneticPr fontId="1"/>
  </si>
  <si>
    <t>フォーザウィン</t>
    <phoneticPr fontId="1"/>
  </si>
  <si>
    <t>池田</t>
    <rPh sb="0" eb="2">
      <t>イケダ</t>
    </rPh>
    <phoneticPr fontId="1"/>
  </si>
  <si>
    <t>原　綾沙</t>
    <rPh sb="0" eb="1">
      <t>ハラ</t>
    </rPh>
    <phoneticPr fontId="1"/>
  </si>
  <si>
    <t>事務</t>
    <rPh sb="0" eb="2">
      <t>ジム</t>
    </rPh>
    <phoneticPr fontId="1"/>
  </si>
  <si>
    <t>オールワークス</t>
    <phoneticPr fontId="1"/>
  </si>
  <si>
    <t>西山</t>
    <rPh sb="0" eb="2">
      <t>ニシヤマ</t>
    </rPh>
    <phoneticPr fontId="1"/>
  </si>
  <si>
    <t>NTTデータ</t>
    <phoneticPr fontId="1"/>
  </si>
  <si>
    <t>K＆G</t>
    <phoneticPr fontId="1"/>
  </si>
  <si>
    <t>田向</t>
    <rPh sb="0" eb="2">
      <t>タムカイ</t>
    </rPh>
    <phoneticPr fontId="1"/>
  </si>
  <si>
    <t>今野</t>
    <rPh sb="0" eb="2">
      <t>コンノ</t>
    </rPh>
    <phoneticPr fontId="1"/>
  </si>
  <si>
    <t>栁舘　匠克</t>
    <phoneticPr fontId="1"/>
  </si>
  <si>
    <t>VBA　RPA</t>
    <phoneticPr fontId="1"/>
  </si>
  <si>
    <t>JAXA</t>
    <phoneticPr fontId="1"/>
  </si>
  <si>
    <t>KDDI</t>
    <phoneticPr fontId="1"/>
  </si>
  <si>
    <t>ATS</t>
    <phoneticPr fontId="1"/>
  </si>
  <si>
    <t>依田</t>
    <rPh sb="0" eb="2">
      <t>ヨダ</t>
    </rPh>
    <phoneticPr fontId="1"/>
  </si>
  <si>
    <t>ITPM</t>
    <phoneticPr fontId="1"/>
  </si>
  <si>
    <t>白原</t>
    <rPh sb="0" eb="2">
      <t>シロハラ</t>
    </rPh>
    <phoneticPr fontId="1"/>
  </si>
  <si>
    <t>熊谷　直也</t>
    <phoneticPr fontId="1"/>
  </si>
  <si>
    <t>ジブラルタ生命</t>
    <rPh sb="5" eb="7">
      <t>セイメイ</t>
    </rPh>
    <phoneticPr fontId="1"/>
  </si>
  <si>
    <t>３Cコンサルティング</t>
    <phoneticPr fontId="1"/>
  </si>
  <si>
    <t>デジタルハーツ</t>
    <phoneticPr fontId="1"/>
  </si>
  <si>
    <t>小林</t>
    <rPh sb="0" eb="2">
      <t>コバヤシ</t>
    </rPh>
    <phoneticPr fontId="1"/>
  </si>
  <si>
    <t>木村</t>
    <rPh sb="0" eb="1">
      <t>キ</t>
    </rPh>
    <rPh sb="1" eb="2">
      <t>ムラ</t>
    </rPh>
    <phoneticPr fontId="1"/>
  </si>
  <si>
    <t>小西　聡一郎</t>
    <rPh sb="0" eb="2">
      <t>コニシ</t>
    </rPh>
    <phoneticPr fontId="1"/>
  </si>
  <si>
    <t>C#.NET</t>
    <phoneticPr fontId="1"/>
  </si>
  <si>
    <t>営業支援（小西）</t>
    <rPh sb="0" eb="2">
      <t>エイギョウ</t>
    </rPh>
    <rPh sb="2" eb="4">
      <t>シエン</t>
    </rPh>
    <rPh sb="5" eb="7">
      <t>コニシ</t>
    </rPh>
    <phoneticPr fontId="1"/>
  </si>
  <si>
    <t>損保ジャパン日本興亜</t>
    <phoneticPr fontId="1"/>
  </si>
  <si>
    <t>エヌ・アンド・アイ・システムズ</t>
    <phoneticPr fontId="1"/>
  </si>
  <si>
    <t>フュージョニア</t>
    <phoneticPr fontId="1"/>
  </si>
  <si>
    <t>舘岡</t>
    <phoneticPr fontId="1"/>
  </si>
  <si>
    <t>フレスタ</t>
    <phoneticPr fontId="1"/>
  </si>
  <si>
    <t>都筑</t>
    <phoneticPr fontId="1"/>
  </si>
  <si>
    <t>樋口　奈津美</t>
    <rPh sb="0" eb="2">
      <t>ヒグチ</t>
    </rPh>
    <phoneticPr fontId="1"/>
  </si>
  <si>
    <t>Word　Excel　事務</t>
    <rPh sb="11" eb="13">
      <t>ジム</t>
    </rPh>
    <phoneticPr fontId="1"/>
  </si>
  <si>
    <t>ぴーぷる</t>
    <phoneticPr fontId="1"/>
  </si>
  <si>
    <t>家子</t>
    <rPh sb="0" eb="1">
      <t>イエ</t>
    </rPh>
    <rPh sb="1" eb="2">
      <t>コ</t>
    </rPh>
    <phoneticPr fontId="1"/>
  </si>
  <si>
    <t>フレスタ</t>
    <phoneticPr fontId="1"/>
  </si>
  <si>
    <t>都筑</t>
    <phoneticPr fontId="1"/>
  </si>
  <si>
    <t>小川　拓郎</t>
    <phoneticPr fontId="1"/>
  </si>
  <si>
    <t>運用OP</t>
    <rPh sb="0" eb="2">
      <t>ウンヨウ</t>
    </rPh>
    <phoneticPr fontId="1"/>
  </si>
  <si>
    <t>コムコシステム</t>
    <phoneticPr fontId="1"/>
  </si>
  <si>
    <t>田中</t>
    <rPh sb="0" eb="2">
      <t>タナカ</t>
    </rPh>
    <phoneticPr fontId="1"/>
  </si>
  <si>
    <t>横森　正信</t>
    <phoneticPr fontId="1"/>
  </si>
  <si>
    <t>PL/1</t>
    <phoneticPr fontId="1"/>
  </si>
  <si>
    <t>藤江</t>
    <rPh sb="0" eb="2">
      <t>フジエ</t>
    </rPh>
    <phoneticPr fontId="1"/>
  </si>
  <si>
    <t>日本技研プロフェッショナルアーキテクト</t>
    <phoneticPr fontId="1"/>
  </si>
  <si>
    <t>南</t>
    <rPh sb="0" eb="1">
      <t>ミナミ</t>
    </rPh>
    <phoneticPr fontId="1"/>
  </si>
  <si>
    <t>菅　大地</t>
    <phoneticPr fontId="1"/>
  </si>
  <si>
    <t>JAVA</t>
    <phoneticPr fontId="1"/>
  </si>
  <si>
    <t>ジャパンシステム</t>
    <phoneticPr fontId="1"/>
  </si>
  <si>
    <t>SUN</t>
    <phoneticPr fontId="1"/>
  </si>
  <si>
    <t>大和田</t>
    <rPh sb="0" eb="3">
      <t>オオワダ</t>
    </rPh>
    <phoneticPr fontId="1"/>
  </si>
  <si>
    <t>柴田</t>
    <rPh sb="0" eb="2">
      <t>シバタ</t>
    </rPh>
    <phoneticPr fontId="1"/>
  </si>
  <si>
    <t>高橋　和也</t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</si>
  <si>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</si>
  <si>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</si>
  <si>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営業支援（稲場　章芳）</t>
    <rPh sb="0" eb="2">
      <t>エイギョウ</t>
    </rPh>
    <rPh sb="2" eb="4">
      <t>シエン</t>
    </rPh>
    <phoneticPr fontId="1"/>
  </si>
  <si>
    <t>東急ハンズ</t>
    <rPh sb="0" eb="2">
      <t>トウキュウ</t>
    </rPh>
    <phoneticPr fontId="1"/>
  </si>
  <si>
    <t>情報技術開発</t>
    <rPh sb="0" eb="2">
      <t>ジョウホウ</t>
    </rPh>
    <rPh sb="2" eb="4">
      <t>ギジュツ</t>
    </rPh>
    <rPh sb="4" eb="6">
      <t>カイハツ</t>
    </rPh>
    <phoneticPr fontId="1"/>
  </si>
  <si>
    <t>小清水　坂本</t>
    <rPh sb="0" eb="3">
      <t>コシミズ</t>
    </rPh>
    <rPh sb="4" eb="6">
      <t>サカモト</t>
    </rPh>
    <phoneticPr fontId="1"/>
  </si>
  <si>
    <t>大倉</t>
    <rPh sb="0" eb="2">
      <t>オオクラ</t>
    </rPh>
    <phoneticPr fontId="1"/>
  </si>
  <si>
    <t>岸名　伸浩</t>
    <phoneticPr fontId="1"/>
  </si>
  <si>
    <t>UiPath</t>
    <phoneticPr fontId="1"/>
  </si>
  <si>
    <t>システム情報</t>
    <rPh sb="4" eb="6">
      <t>ジョウホウ</t>
    </rPh>
    <phoneticPr fontId="1"/>
  </si>
  <si>
    <t>柳木　大橋</t>
    <rPh sb="0" eb="1">
      <t>ヤナギ</t>
    </rPh>
    <rPh sb="1" eb="2">
      <t>キ</t>
    </rPh>
    <rPh sb="3" eb="5">
      <t>オオハシ</t>
    </rPh>
    <phoneticPr fontId="1"/>
  </si>
  <si>
    <t>キャリアルーツ</t>
    <phoneticPr fontId="1"/>
  </si>
  <si>
    <t>原</t>
    <rPh sb="0" eb="1">
      <t>ハラ</t>
    </rPh>
    <phoneticPr fontId="1"/>
  </si>
  <si>
    <t>松本　安希子</t>
    <phoneticPr fontId="1"/>
  </si>
  <si>
    <t>RPA運用</t>
    <rPh sb="3" eb="5">
      <t>ウンヨウ</t>
    </rPh>
    <phoneticPr fontId="1"/>
  </si>
  <si>
    <t>日産</t>
    <rPh sb="0" eb="2">
      <t>ニッサン</t>
    </rPh>
    <phoneticPr fontId="1"/>
  </si>
  <si>
    <t>ぴゅあ</t>
    <phoneticPr fontId="1"/>
  </si>
  <si>
    <t>家子</t>
    <rPh sb="0" eb="1">
      <t>イエ</t>
    </rPh>
    <rPh sb="1" eb="2">
      <t>コ</t>
    </rPh>
    <phoneticPr fontId="1"/>
  </si>
  <si>
    <t>石川</t>
    <rPh sb="0" eb="2">
      <t>イシカワ</t>
    </rPh>
    <phoneticPr fontId="1"/>
  </si>
  <si>
    <t>鮫島　龍</t>
    <phoneticPr fontId="1"/>
  </si>
  <si>
    <t>Access　VBA</t>
    <phoneticPr fontId="1"/>
  </si>
  <si>
    <t>損害保険ジャパン</t>
    <rPh sb="0" eb="2">
      <t>ソンガイ</t>
    </rPh>
    <rPh sb="2" eb="4">
      <t>ホケン</t>
    </rPh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</si>
  <si>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</si>
  <si>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</si>
  <si>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レイシスソフトウエアーサービス</t>
    <phoneticPr fontId="1"/>
  </si>
  <si>
    <t>加藤</t>
    <rPh sb="0" eb="2">
      <t>カトウ</t>
    </rPh>
    <phoneticPr fontId="1"/>
  </si>
  <si>
    <t>小山　朗</t>
    <rPh sb="0" eb="2">
      <t>コヤマ</t>
    </rPh>
    <phoneticPr fontId="1"/>
  </si>
  <si>
    <t>社員代替</t>
    <rPh sb="0" eb="2">
      <t>シャイン</t>
    </rPh>
    <rPh sb="2" eb="4">
      <t>ダイタイ</t>
    </rPh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</si>
  <si>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</si>
  <si>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</si>
  <si>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エムアイピー</t>
    <phoneticPr fontId="1"/>
  </si>
  <si>
    <t>斎藤</t>
    <phoneticPr fontId="1"/>
  </si>
  <si>
    <t>吉田 誠</t>
    <phoneticPr fontId="1"/>
  </si>
  <si>
    <t>学校</t>
    <rPh sb="0" eb="2">
      <t>ガッコウ</t>
    </rPh>
    <phoneticPr fontId="1"/>
  </si>
  <si>
    <t>クルージス</t>
    <phoneticPr fontId="1"/>
  </si>
  <si>
    <t>丸山</t>
    <rPh sb="0" eb="2">
      <t>マルヤマ</t>
    </rPh>
    <phoneticPr fontId="1"/>
  </si>
  <si>
    <t>ロケットウェブ</t>
    <phoneticPr fontId="1"/>
  </si>
  <si>
    <t>大樹</t>
    <rPh sb="0" eb="2">
      <t>オオキ</t>
    </rPh>
    <phoneticPr fontId="1"/>
  </si>
  <si>
    <t>西田　潤弥</t>
    <phoneticPr fontId="1"/>
  </si>
  <si>
    <t>楽天</t>
    <rPh sb="0" eb="2">
      <t>ラクテン</t>
    </rPh>
    <phoneticPr fontId="1"/>
  </si>
  <si>
    <t>坂本 由梨香</t>
    <phoneticPr fontId="1"/>
  </si>
  <si>
    <t>事務</t>
    <rPh sb="0" eb="2">
      <t>ジム</t>
    </rPh>
    <phoneticPr fontId="1"/>
  </si>
  <si>
    <t>営業代行会社</t>
    <rPh sb="0" eb="2">
      <t>エイギョウ</t>
    </rPh>
    <rPh sb="2" eb="4">
      <t>ダイコウ</t>
    </rPh>
    <rPh sb="4" eb="6">
      <t>カイシャ</t>
    </rPh>
    <phoneticPr fontId="1"/>
  </si>
  <si>
    <t>NTTデータ</t>
    <phoneticPr fontId="1"/>
  </si>
  <si>
    <t>シジスカイ</t>
    <phoneticPr fontId="1"/>
  </si>
  <si>
    <t>飯田</t>
    <rPh sb="0" eb="2">
      <t>イイダ</t>
    </rPh>
    <phoneticPr fontId="1"/>
  </si>
  <si>
    <t>アクセレイ</t>
    <phoneticPr fontId="1"/>
  </si>
  <si>
    <t>鈴木</t>
    <rPh sb="0" eb="2">
      <t>スズキ</t>
    </rPh>
    <phoneticPr fontId="1"/>
  </si>
  <si>
    <t>三矢　晃久</t>
    <rPh sb="0" eb="2">
      <t>ミツヤ</t>
    </rPh>
    <rPh sb="3" eb="5">
      <t>アキヒサ</t>
    </rPh>
    <phoneticPr fontId="1"/>
  </si>
  <si>
    <t>営業</t>
    <rPh sb="0" eb="2">
      <t>エイギョウ</t>
    </rPh>
    <phoneticPr fontId="1"/>
  </si>
  <si>
    <t>サンフィールズ</t>
    <phoneticPr fontId="1"/>
  </si>
  <si>
    <t>阿蘇品</t>
    <rPh sb="0" eb="3">
      <t>アソシナ</t>
    </rPh>
    <phoneticPr fontId="1"/>
  </si>
  <si>
    <t>SATT</t>
    <phoneticPr fontId="1"/>
  </si>
  <si>
    <t>大樹</t>
    <rPh sb="0" eb="2">
      <t>オオキ</t>
    </rPh>
    <phoneticPr fontId="1"/>
  </si>
  <si>
    <t>アイキューブ</t>
    <phoneticPr fontId="1"/>
  </si>
  <si>
    <t>坪</t>
    <rPh sb="0" eb="1">
      <t>ツボ</t>
    </rPh>
    <phoneticPr fontId="1"/>
  </si>
  <si>
    <t>長野　一郎</t>
    <phoneticPr fontId="1"/>
  </si>
  <si>
    <t>行政機関</t>
    <rPh sb="0" eb="2">
      <t>ギョウセイ</t>
    </rPh>
    <rPh sb="2" eb="4">
      <t>キカン</t>
    </rPh>
    <phoneticPr fontId="1"/>
  </si>
  <si>
    <t>ゼンク</t>
    <phoneticPr fontId="1"/>
  </si>
  <si>
    <t>小林</t>
    <rPh sb="0" eb="2">
      <t>コバヤシ</t>
    </rPh>
    <phoneticPr fontId="1"/>
  </si>
  <si>
    <t>木村</t>
    <rPh sb="0" eb="2">
      <t>キムラ</t>
    </rPh>
    <phoneticPr fontId="1"/>
  </si>
  <si>
    <t>平石　萌</t>
    <phoneticPr fontId="1"/>
  </si>
  <si>
    <t>JAVA</t>
    <phoneticPr fontId="1"/>
  </si>
  <si>
    <t>朝日生命</t>
    <rPh sb="0" eb="2">
      <t>アサヒ</t>
    </rPh>
    <rPh sb="2" eb="4">
      <t>セイメイ</t>
    </rPh>
    <phoneticPr fontId="1"/>
  </si>
  <si>
    <t>インフォテクノ朝日</t>
    <rPh sb="7" eb="9">
      <t>アサヒ</t>
    </rPh>
    <phoneticPr fontId="1"/>
  </si>
  <si>
    <t>田中</t>
    <rPh sb="0" eb="2">
      <t>タナカ</t>
    </rPh>
    <phoneticPr fontId="1"/>
  </si>
  <si>
    <t>大倉</t>
    <rPh sb="0" eb="2">
      <t>オオクラ</t>
    </rPh>
    <phoneticPr fontId="1"/>
  </si>
  <si>
    <t>熊田　光雄</t>
    <rPh sb="0" eb="2">
      <t>クマダ</t>
    </rPh>
    <rPh sb="3" eb="5">
      <t>ミツオ</t>
    </rPh>
    <phoneticPr fontId="1"/>
  </si>
  <si>
    <t>C　</t>
    <phoneticPr fontId="1"/>
  </si>
  <si>
    <t>営業支援（熊田）</t>
    <rPh sb="0" eb="2">
      <t>エイギョウ</t>
    </rPh>
    <rPh sb="2" eb="4">
      <t>シエン</t>
    </rPh>
    <rPh sb="5" eb="7">
      <t>クマダ</t>
    </rPh>
    <phoneticPr fontId="1"/>
  </si>
  <si>
    <t>日本生活協同組合</t>
    <phoneticPr fontId="1"/>
  </si>
  <si>
    <t>アバンテック</t>
    <phoneticPr fontId="1"/>
  </si>
  <si>
    <t>中上</t>
    <rPh sb="0" eb="2">
      <t>ナカウエ</t>
    </rPh>
    <phoneticPr fontId="1"/>
  </si>
  <si>
    <t>シーファイブ</t>
    <phoneticPr fontId="1"/>
  </si>
  <si>
    <t>小池</t>
    <rPh sb="0" eb="2">
      <t>コイケ</t>
    </rPh>
    <phoneticPr fontId="1"/>
  </si>
  <si>
    <t>平畑　敏郎</t>
    <phoneticPr fontId="1"/>
  </si>
  <si>
    <t>VB.NET</t>
    <phoneticPr fontId="1"/>
  </si>
  <si>
    <t>官公庁</t>
    <rPh sb="0" eb="3">
      <t>カンコウチョウ</t>
    </rPh>
    <phoneticPr fontId="1"/>
  </si>
  <si>
    <t>みずほトラストシステムズ</t>
    <phoneticPr fontId="1"/>
  </si>
  <si>
    <t>野村</t>
    <rPh sb="0" eb="2">
      <t>ノムラ</t>
    </rPh>
    <phoneticPr fontId="1"/>
  </si>
  <si>
    <t>バイナリーラブ</t>
    <phoneticPr fontId="1"/>
  </si>
  <si>
    <t>二川</t>
    <rPh sb="0" eb="2">
      <t>フタガワ</t>
    </rPh>
    <phoneticPr fontId="1"/>
  </si>
  <si>
    <t>近藤　竜生</t>
    <rPh sb="0" eb="2">
      <t>コンドウ</t>
    </rPh>
    <phoneticPr fontId="1"/>
  </si>
  <si>
    <t>JAVA</t>
    <phoneticPr fontId="1"/>
  </si>
  <si>
    <t>コンタクトセンター</t>
    <phoneticPr fontId="1"/>
  </si>
  <si>
    <t>マークス</t>
    <phoneticPr fontId="1"/>
  </si>
  <si>
    <t>佐藤</t>
    <rPh sb="0" eb="2">
      <t>サトウ</t>
    </rPh>
    <phoneticPr fontId="1"/>
  </si>
  <si>
    <t>日本技研プロフェッショナルアーキテクト　</t>
    <phoneticPr fontId="1"/>
  </si>
  <si>
    <t>石渡</t>
    <rPh sb="0" eb="2">
      <t>イシワタ</t>
    </rPh>
    <phoneticPr fontId="1"/>
  </si>
  <si>
    <t>遠山　勝春</t>
    <phoneticPr fontId="1"/>
  </si>
  <si>
    <t>eプラス</t>
    <phoneticPr fontId="1"/>
  </si>
  <si>
    <t>松井</t>
    <rPh sb="0" eb="2">
      <t>マツイ</t>
    </rPh>
    <phoneticPr fontId="1"/>
  </si>
  <si>
    <t>エル・フィールド</t>
    <phoneticPr fontId="1"/>
  </si>
  <si>
    <t>吉田</t>
    <rPh sb="0" eb="2">
      <t>ヨシダ</t>
    </rPh>
    <phoneticPr fontId="1"/>
  </si>
  <si>
    <t>鈴木　誠治</t>
    <phoneticPr fontId="1"/>
  </si>
  <si>
    <t>ストリーミング配信　運用</t>
    <rPh sb="7" eb="9">
      <t>ハイシン</t>
    </rPh>
    <rPh sb="10" eb="12">
      <t>ウンヨウ</t>
    </rPh>
    <phoneticPr fontId="1"/>
  </si>
  <si>
    <t>Tech　Fun</t>
    <phoneticPr fontId="1"/>
  </si>
  <si>
    <t>西方</t>
    <rPh sb="0" eb="2">
      <t>ニシカタ</t>
    </rPh>
    <phoneticPr fontId="1"/>
  </si>
  <si>
    <t>IT技術者センター　</t>
    <phoneticPr fontId="1"/>
  </si>
  <si>
    <t>長谷</t>
    <phoneticPr fontId="1"/>
  </si>
  <si>
    <t>小日山　史也</t>
    <phoneticPr fontId="1"/>
  </si>
  <si>
    <t>システム情報</t>
    <rPh sb="4" eb="6">
      <t>ジョウホウ</t>
    </rPh>
    <phoneticPr fontId="1"/>
  </si>
  <si>
    <t>大橋　柳木</t>
    <rPh sb="0" eb="2">
      <t>オオハシ</t>
    </rPh>
    <rPh sb="3" eb="4">
      <t>ヤナギ</t>
    </rPh>
    <rPh sb="4" eb="5">
      <t>キ</t>
    </rPh>
    <phoneticPr fontId="1"/>
  </si>
  <si>
    <t>大内　直美</t>
    <rPh sb="0" eb="2">
      <t>オオウチ</t>
    </rPh>
    <rPh sb="3" eb="5">
      <t>ナオミ</t>
    </rPh>
    <phoneticPr fontId="1"/>
  </si>
  <si>
    <t>RPA</t>
    <phoneticPr fontId="1"/>
  </si>
  <si>
    <t>都築</t>
    <rPh sb="0" eb="2">
      <t>ツヅキ</t>
    </rPh>
    <phoneticPr fontId="1"/>
  </si>
  <si>
    <t>損保ジャパン</t>
    <rPh sb="0" eb="2">
      <t>ソンポ</t>
    </rPh>
    <phoneticPr fontId="1"/>
  </si>
  <si>
    <t>富士情報</t>
    <rPh sb="0" eb="2">
      <t>フジ</t>
    </rPh>
    <rPh sb="2" eb="4">
      <t>ジョウホウ</t>
    </rPh>
    <phoneticPr fontId="1"/>
  </si>
  <si>
    <t>木村</t>
    <rPh sb="0" eb="2">
      <t>キムラ</t>
    </rPh>
    <phoneticPr fontId="1"/>
  </si>
  <si>
    <t>山下　健夫</t>
    <rPh sb="0" eb="2">
      <t>ヤマシタ</t>
    </rPh>
    <phoneticPr fontId="1"/>
  </si>
  <si>
    <t>VB.NET　VB　VBS</t>
    <phoneticPr fontId="1"/>
  </si>
  <si>
    <t>スバル</t>
    <phoneticPr fontId="1"/>
  </si>
  <si>
    <t>システム情報</t>
    <rPh sb="4" eb="6">
      <t>ジョウホウ</t>
    </rPh>
    <phoneticPr fontId="1"/>
  </si>
  <si>
    <t>村越</t>
    <rPh sb="0" eb="2">
      <t>ムラコシ</t>
    </rPh>
    <phoneticPr fontId="1"/>
  </si>
  <si>
    <t>大倉</t>
    <rPh sb="0" eb="2">
      <t>オオクラ</t>
    </rPh>
    <phoneticPr fontId="1"/>
  </si>
  <si>
    <t>西本　智哉</t>
    <phoneticPr fontId="1"/>
  </si>
  <si>
    <t>JAVA</t>
    <phoneticPr fontId="1"/>
  </si>
  <si>
    <t>病院</t>
    <rPh sb="0" eb="2">
      <t>ビョウイン</t>
    </rPh>
    <phoneticPr fontId="1"/>
  </si>
  <si>
    <t>小林</t>
    <rPh sb="0" eb="2">
      <t>コバヤシ</t>
    </rPh>
    <phoneticPr fontId="1"/>
  </si>
  <si>
    <t>工藤　郁美</t>
    <rPh sb="0" eb="2">
      <t>クドウ</t>
    </rPh>
    <phoneticPr fontId="1"/>
  </si>
  <si>
    <t>英語　通訳</t>
    <rPh sb="0" eb="2">
      <t>エイゴ</t>
    </rPh>
    <rPh sb="3" eb="5">
      <t>ツウヤク</t>
    </rPh>
    <phoneticPr fontId="1"/>
  </si>
  <si>
    <t>中村　光秀</t>
    <phoneticPr fontId="1"/>
  </si>
  <si>
    <t>日鉄ソリューションズ</t>
    <rPh sb="0" eb="2">
      <t>ニッテツ</t>
    </rPh>
    <phoneticPr fontId="1"/>
  </si>
  <si>
    <t>GEMジャパン</t>
    <phoneticPr fontId="1"/>
  </si>
  <si>
    <t>清水</t>
    <rPh sb="0" eb="2">
      <t>シミズ</t>
    </rPh>
    <phoneticPr fontId="1"/>
  </si>
  <si>
    <t>フジテレビ</t>
    <phoneticPr fontId="1"/>
  </si>
  <si>
    <t>シーシーエス</t>
    <phoneticPr fontId="1"/>
  </si>
  <si>
    <t>安田</t>
    <rPh sb="0" eb="2">
      <t>ヤスダ</t>
    </rPh>
    <phoneticPr fontId="1"/>
  </si>
  <si>
    <t>ITPM</t>
    <phoneticPr fontId="1"/>
  </si>
  <si>
    <t>見藤</t>
    <rPh sb="0" eb="2">
      <t>ミフジ</t>
    </rPh>
    <phoneticPr fontId="1"/>
  </si>
  <si>
    <t>小森　愛純</t>
    <phoneticPr fontId="1"/>
  </si>
  <si>
    <t>損保ジャパン</t>
    <rPh sb="0" eb="2">
      <t>ソンポ</t>
    </rPh>
    <phoneticPr fontId="1"/>
  </si>
  <si>
    <t>富士情報</t>
    <rPh sb="0" eb="2">
      <t>フジ</t>
    </rPh>
    <rPh sb="2" eb="4">
      <t>ジョウホウ</t>
    </rPh>
    <phoneticPr fontId="1"/>
  </si>
  <si>
    <t>藤江</t>
    <rPh sb="0" eb="2">
      <t>フジエ</t>
    </rPh>
    <phoneticPr fontId="1"/>
  </si>
  <si>
    <t>八木　哲郎</t>
    <phoneticPr fontId="1"/>
  </si>
  <si>
    <t>病院</t>
    <rPh sb="0" eb="2">
      <t>ビョウイン</t>
    </rPh>
    <phoneticPr fontId="1"/>
  </si>
  <si>
    <t>小林</t>
    <rPh sb="0" eb="2">
      <t>コバヤシ</t>
    </rPh>
    <phoneticPr fontId="1"/>
  </si>
  <si>
    <t>キャル</t>
    <phoneticPr fontId="1"/>
  </si>
  <si>
    <t>熱海</t>
    <rPh sb="0" eb="2">
      <t>アタミ</t>
    </rPh>
    <phoneticPr fontId="1"/>
  </si>
  <si>
    <t>鷹取　将和</t>
    <phoneticPr fontId="1"/>
  </si>
  <si>
    <t>英語　通訳</t>
    <rPh sb="0" eb="2">
      <t>エイゴ</t>
    </rPh>
    <rPh sb="3" eb="5">
      <t>ツウヤク</t>
    </rPh>
    <phoneticPr fontId="1"/>
  </si>
  <si>
    <t>証券</t>
    <rPh sb="0" eb="2">
      <t>ショウケン</t>
    </rPh>
    <phoneticPr fontId="1"/>
  </si>
  <si>
    <t>CCNグループ</t>
    <phoneticPr fontId="1"/>
  </si>
  <si>
    <t>田村</t>
    <rPh sb="0" eb="2">
      <t>タムラ</t>
    </rPh>
    <phoneticPr fontId="1"/>
  </si>
  <si>
    <t>大倉</t>
    <rPh sb="0" eb="2">
      <t>オオクラ</t>
    </rPh>
    <phoneticPr fontId="1"/>
  </si>
  <si>
    <t>板東　利行</t>
    <phoneticPr fontId="1"/>
  </si>
  <si>
    <t>NW設計構築</t>
    <rPh sb="2" eb="4">
      <t>セッケイ</t>
    </rPh>
    <rPh sb="4" eb="6">
      <t>コウチク</t>
    </rPh>
    <phoneticPr fontId="1"/>
  </si>
  <si>
    <t>エンタメ</t>
    <phoneticPr fontId="1"/>
  </si>
  <si>
    <t>ゲートスカイ</t>
    <phoneticPr fontId="1"/>
  </si>
  <si>
    <t>垣見</t>
    <rPh sb="0" eb="2">
      <t>カキミ</t>
    </rPh>
    <phoneticPr fontId="1"/>
  </si>
  <si>
    <t>木村</t>
    <rPh sb="0" eb="2">
      <t>キムラ</t>
    </rPh>
    <phoneticPr fontId="1"/>
  </si>
  <si>
    <t>山本　俊朗</t>
    <rPh sb="0" eb="2">
      <t>ヤマモト</t>
    </rPh>
    <phoneticPr fontId="1"/>
  </si>
  <si>
    <t>Android　Java</t>
    <phoneticPr fontId="1"/>
  </si>
  <si>
    <t>営業支援（山本）</t>
    <rPh sb="0" eb="2">
      <t>エイギョウ</t>
    </rPh>
    <rPh sb="2" eb="4">
      <t>シエン</t>
    </rPh>
    <rPh sb="5" eb="7">
      <t>ヤマモト</t>
    </rPh>
    <phoneticPr fontId="1"/>
  </si>
  <si>
    <t>小売</t>
    <rPh sb="0" eb="2">
      <t>コウリ</t>
    </rPh>
    <phoneticPr fontId="1"/>
  </si>
  <si>
    <t>キャッスルシステム</t>
    <phoneticPr fontId="1"/>
  </si>
  <si>
    <t>森原</t>
    <rPh sb="0" eb="2">
      <t>モリハラ</t>
    </rPh>
    <phoneticPr fontId="1"/>
  </si>
  <si>
    <t>木村</t>
    <rPh sb="0" eb="2">
      <t>キムラ</t>
    </rPh>
    <phoneticPr fontId="1"/>
  </si>
  <si>
    <t>池田　幸治</t>
    <phoneticPr fontId="1"/>
  </si>
  <si>
    <t>Linux　COBOL</t>
    <phoneticPr fontId="1"/>
  </si>
  <si>
    <t>営業支援（池田）</t>
    <rPh sb="0" eb="2">
      <t>エイギョウ</t>
    </rPh>
    <rPh sb="2" eb="4">
      <t>シエン</t>
    </rPh>
    <rPh sb="5" eb="7">
      <t>イケダ</t>
    </rPh>
    <phoneticPr fontId="1"/>
  </si>
  <si>
    <t>三井住友海上プライマリー生命</t>
    <rPh sb="0" eb="2">
      <t>ミツイ</t>
    </rPh>
    <rPh sb="2" eb="4">
      <t>スミトモ</t>
    </rPh>
    <rPh sb="4" eb="6">
      <t>カイジョウ</t>
    </rPh>
    <rPh sb="12" eb="14">
      <t>セイメイ</t>
    </rPh>
    <phoneticPr fontId="1"/>
  </si>
  <si>
    <t>システム情報</t>
    <rPh sb="4" eb="6">
      <t>ジョウホウ</t>
    </rPh>
    <phoneticPr fontId="1"/>
  </si>
  <si>
    <t>鈴木</t>
    <rPh sb="0" eb="2">
      <t>スズキ</t>
    </rPh>
    <phoneticPr fontId="1"/>
  </si>
  <si>
    <t>JWEBGATE</t>
    <phoneticPr fontId="1"/>
  </si>
  <si>
    <t>須崎</t>
    <rPh sb="0" eb="2">
      <t>スザキ</t>
    </rPh>
    <phoneticPr fontId="1"/>
  </si>
  <si>
    <t>伊澤　凌弥</t>
    <phoneticPr fontId="1"/>
  </si>
  <si>
    <t>JAVA</t>
    <phoneticPr fontId="1"/>
  </si>
  <si>
    <t>栗原</t>
    <rPh sb="0" eb="2">
      <t>クリハラ</t>
    </rPh>
    <phoneticPr fontId="1"/>
  </si>
  <si>
    <t>文部科学省</t>
    <rPh sb="0" eb="5">
      <t>モンブカガクショウ</t>
    </rPh>
    <phoneticPr fontId="1"/>
  </si>
  <si>
    <t>松倉</t>
    <rPh sb="0" eb="2">
      <t>マツクラ</t>
    </rPh>
    <phoneticPr fontId="1"/>
  </si>
  <si>
    <t>サプライド</t>
    <phoneticPr fontId="1"/>
  </si>
  <si>
    <t>中道</t>
    <rPh sb="0" eb="2">
      <t>ナカミチ</t>
    </rPh>
    <phoneticPr fontId="1"/>
  </si>
  <si>
    <t>小川原　明日美</t>
    <phoneticPr fontId="1"/>
  </si>
  <si>
    <t>NTTデータ</t>
    <phoneticPr fontId="1"/>
  </si>
  <si>
    <t>伏見</t>
    <rPh sb="0" eb="2">
      <t>フシミ</t>
    </rPh>
    <phoneticPr fontId="1"/>
  </si>
  <si>
    <t>VALUE SALES JAPAN</t>
    <phoneticPr fontId="1"/>
  </si>
  <si>
    <t>池田</t>
    <rPh sb="0" eb="2">
      <t>イケダ</t>
    </rPh>
    <phoneticPr fontId="1"/>
  </si>
  <si>
    <t>稲田　美香</t>
    <phoneticPr fontId="1"/>
  </si>
  <si>
    <t>O365　運用</t>
    <rPh sb="5" eb="7">
      <t>ウンヨウ</t>
    </rPh>
    <phoneticPr fontId="1"/>
  </si>
  <si>
    <t>浅井</t>
    <rPh sb="0" eb="2">
      <t>アサイ</t>
    </rPh>
    <phoneticPr fontId="1"/>
  </si>
  <si>
    <t>営業支援（稲田）</t>
    <rPh sb="0" eb="2">
      <t>エイギョウ</t>
    </rPh>
    <rPh sb="2" eb="4">
      <t>シエン</t>
    </rPh>
    <rPh sb="5" eb="7">
      <t>イナダ</t>
    </rPh>
    <phoneticPr fontId="1"/>
  </si>
  <si>
    <t>銀行</t>
    <rPh sb="0" eb="2">
      <t>ギンコウ</t>
    </rPh>
    <phoneticPr fontId="1"/>
  </si>
  <si>
    <t>アビリティ</t>
    <phoneticPr fontId="1"/>
  </si>
  <si>
    <t>大友</t>
    <rPh sb="0" eb="2">
      <t>オオトモ</t>
    </rPh>
    <phoneticPr fontId="1"/>
  </si>
  <si>
    <t>大倉</t>
    <rPh sb="0" eb="2">
      <t>オオクラ</t>
    </rPh>
    <phoneticPr fontId="1"/>
  </si>
  <si>
    <t>寺田　勝彦</t>
    <rPh sb="0" eb="2">
      <t>テラダ</t>
    </rPh>
    <rPh sb="3" eb="5">
      <t>カツヒコ</t>
    </rPh>
    <phoneticPr fontId="1"/>
  </si>
  <si>
    <t>Windows　Powershell</t>
    <phoneticPr fontId="1"/>
  </si>
  <si>
    <t>Harvest　Biz　Career</t>
    <phoneticPr fontId="1"/>
  </si>
  <si>
    <t>岩澤</t>
    <rPh sb="0" eb="2">
      <t>イワサワ</t>
    </rPh>
    <phoneticPr fontId="1"/>
  </si>
  <si>
    <t>リズネット</t>
    <phoneticPr fontId="1"/>
  </si>
  <si>
    <t>神</t>
    <phoneticPr fontId="1"/>
  </si>
  <si>
    <t>橋本　英明</t>
    <phoneticPr fontId="1"/>
  </si>
  <si>
    <t>C　Java</t>
    <phoneticPr fontId="1"/>
  </si>
  <si>
    <t>レインオンファニー</t>
    <phoneticPr fontId="1"/>
  </si>
  <si>
    <t>作山</t>
    <rPh sb="0" eb="2">
      <t>サクヤマ</t>
    </rPh>
    <phoneticPr fontId="1"/>
  </si>
  <si>
    <t>高地　隆行</t>
    <phoneticPr fontId="1"/>
  </si>
  <si>
    <t>VB.net　Java</t>
    <phoneticPr fontId="1"/>
  </si>
  <si>
    <t>富士ソフト</t>
    <rPh sb="0" eb="2">
      <t>フジ</t>
    </rPh>
    <phoneticPr fontId="1"/>
  </si>
  <si>
    <t>飯田</t>
    <rPh sb="0" eb="2">
      <t>イイダ</t>
    </rPh>
    <phoneticPr fontId="1"/>
  </si>
  <si>
    <t>ファーンリッジジャパン</t>
    <phoneticPr fontId="1"/>
  </si>
  <si>
    <t>古屋</t>
    <rPh sb="0" eb="2">
      <t>フルヤ</t>
    </rPh>
    <phoneticPr fontId="1"/>
  </si>
  <si>
    <t>草深　幸希</t>
    <phoneticPr fontId="1"/>
  </si>
  <si>
    <t>Access　VBA</t>
    <phoneticPr fontId="1"/>
  </si>
  <si>
    <t>生保</t>
    <rPh sb="0" eb="2">
      <t>セイホ</t>
    </rPh>
    <phoneticPr fontId="1"/>
  </si>
  <si>
    <t>ジーエフイー</t>
    <phoneticPr fontId="1"/>
  </si>
  <si>
    <t>飯島</t>
    <rPh sb="0" eb="2">
      <t>イイジマ</t>
    </rPh>
    <phoneticPr fontId="1"/>
  </si>
  <si>
    <t>木村</t>
    <rPh sb="0" eb="2">
      <t>キムラ</t>
    </rPh>
    <phoneticPr fontId="1"/>
  </si>
  <si>
    <t>佐藤　結城</t>
    <phoneticPr fontId="1"/>
  </si>
  <si>
    <t>Linux-C</t>
    <phoneticPr fontId="1"/>
  </si>
  <si>
    <t>営業支援（佐藤）</t>
    <rPh sb="0" eb="2">
      <t>エイギョウ</t>
    </rPh>
    <rPh sb="2" eb="4">
      <t>シエン</t>
    </rPh>
    <rPh sb="5" eb="7">
      <t>サトウ</t>
    </rPh>
    <phoneticPr fontId="1"/>
  </si>
  <si>
    <t>メグ</t>
    <phoneticPr fontId="1"/>
  </si>
  <si>
    <t>石坂</t>
    <rPh sb="0" eb="2">
      <t>イシザカ</t>
    </rPh>
    <phoneticPr fontId="1"/>
  </si>
  <si>
    <t>アルファシステムズ</t>
    <phoneticPr fontId="1"/>
  </si>
  <si>
    <t>正保</t>
    <rPh sb="0" eb="2">
      <t>ショウボ</t>
    </rPh>
    <phoneticPr fontId="1"/>
  </si>
  <si>
    <t>グルーヴディレクション</t>
    <phoneticPr fontId="1"/>
  </si>
  <si>
    <t>木村</t>
    <rPh sb="0" eb="2">
      <t>キムラ</t>
    </rPh>
    <phoneticPr fontId="1"/>
  </si>
  <si>
    <t>小松　睦月</t>
    <rPh sb="0" eb="2">
      <t>コマツ</t>
    </rPh>
    <rPh sb="3" eb="5">
      <t>ムツキ</t>
    </rPh>
    <phoneticPr fontId="1"/>
  </si>
  <si>
    <t>福留　尚之</t>
    <rPh sb="0" eb="2">
      <t>フクドメ</t>
    </rPh>
    <rPh sb="3" eb="5">
      <t>ナオユキ</t>
    </rPh>
    <phoneticPr fontId="1"/>
  </si>
  <si>
    <t>中村</t>
    <rPh sb="0" eb="2">
      <t>ナカムラ</t>
    </rPh>
    <phoneticPr fontId="1"/>
  </si>
  <si>
    <t>鵜澤　結</t>
    <rPh sb="0" eb="2">
      <t>ウザワ</t>
    </rPh>
    <rPh sb="3" eb="4">
      <t>ユイ</t>
    </rPh>
    <phoneticPr fontId="1"/>
  </si>
  <si>
    <t>アパレル</t>
    <phoneticPr fontId="1"/>
  </si>
  <si>
    <t>ブレイントラスト</t>
    <phoneticPr fontId="1"/>
  </si>
  <si>
    <t>内田</t>
    <rPh sb="0" eb="2">
      <t>ウチダ</t>
    </rPh>
    <phoneticPr fontId="1"/>
  </si>
  <si>
    <t>エボリューションネット</t>
    <phoneticPr fontId="1"/>
  </si>
  <si>
    <t>永井</t>
    <rPh sb="0" eb="2">
      <t>ナガイ</t>
    </rPh>
    <phoneticPr fontId="1"/>
  </si>
  <si>
    <t>野崎　裕也</t>
    <phoneticPr fontId="1"/>
  </si>
  <si>
    <t>C#</t>
    <phoneticPr fontId="1"/>
  </si>
  <si>
    <t>GEMジャパン</t>
    <phoneticPr fontId="1"/>
  </si>
  <si>
    <t>佐藤</t>
    <rPh sb="0" eb="2">
      <t>サトウ</t>
    </rPh>
    <phoneticPr fontId="1"/>
  </si>
  <si>
    <t xml:space="preserve">西向　春輝 </t>
    <rPh sb="0" eb="2">
      <t>ニシムカイ</t>
    </rPh>
    <phoneticPr fontId="1"/>
  </si>
  <si>
    <t>C#</t>
    <phoneticPr fontId="1"/>
  </si>
  <si>
    <t>楽天</t>
    <rPh sb="0" eb="2">
      <t>ラクテン</t>
    </rPh>
    <phoneticPr fontId="1"/>
  </si>
  <si>
    <t>飯田</t>
    <rPh sb="0" eb="2">
      <t>イイダ</t>
    </rPh>
    <phoneticPr fontId="1"/>
  </si>
  <si>
    <t>Riding</t>
    <phoneticPr fontId="1"/>
  </si>
  <si>
    <t>田村</t>
    <rPh sb="0" eb="2">
      <t>タムラ</t>
    </rPh>
    <phoneticPr fontId="1"/>
  </si>
  <si>
    <t>伊達　佳奈子</t>
    <rPh sb="0" eb="2">
      <t>ダテ</t>
    </rPh>
    <phoneticPr fontId="1"/>
  </si>
  <si>
    <t>営業</t>
    <rPh sb="0" eb="2">
      <t>エイギョウ</t>
    </rPh>
    <phoneticPr fontId="1"/>
  </si>
  <si>
    <t>安藤　有紀子</t>
    <rPh sb="0" eb="2">
      <t>アンドウ</t>
    </rPh>
    <phoneticPr fontId="1"/>
  </si>
  <si>
    <t>スバル</t>
    <phoneticPr fontId="1"/>
  </si>
  <si>
    <t>NSD</t>
    <phoneticPr fontId="1"/>
  </si>
  <si>
    <t>佐藤</t>
    <rPh sb="0" eb="2">
      <t>サトウ</t>
    </rPh>
    <phoneticPr fontId="1"/>
  </si>
  <si>
    <t>ステップITソリューション</t>
    <phoneticPr fontId="1"/>
  </si>
  <si>
    <t>松尾</t>
    <rPh sb="0" eb="2">
      <t>マツオ</t>
    </rPh>
    <phoneticPr fontId="1"/>
  </si>
  <si>
    <t>谷　宗悦</t>
    <phoneticPr fontId="1"/>
  </si>
  <si>
    <t>JAVA</t>
    <phoneticPr fontId="1"/>
  </si>
  <si>
    <t>坪</t>
    <rPh sb="0" eb="1">
      <t>ツボ</t>
    </rPh>
    <phoneticPr fontId="1"/>
  </si>
  <si>
    <t>福田　透</t>
    <phoneticPr fontId="1"/>
  </si>
  <si>
    <t>三菱商事テクノス</t>
    <phoneticPr fontId="1"/>
  </si>
  <si>
    <t>黒田</t>
    <rPh sb="0" eb="2">
      <t>クロタ</t>
    </rPh>
    <phoneticPr fontId="1"/>
  </si>
  <si>
    <t>エムアイメイズ</t>
    <phoneticPr fontId="1"/>
  </si>
  <si>
    <t>大村</t>
    <rPh sb="0" eb="2">
      <t>オオムラ</t>
    </rPh>
    <phoneticPr fontId="1"/>
  </si>
  <si>
    <t>大北　麻人</t>
    <phoneticPr fontId="1"/>
  </si>
  <si>
    <t>社内SE</t>
    <rPh sb="0" eb="2">
      <t>シャナイ</t>
    </rPh>
    <phoneticPr fontId="1"/>
  </si>
  <si>
    <t>楽天</t>
    <rPh sb="0" eb="2">
      <t>ラクテン</t>
    </rPh>
    <phoneticPr fontId="1"/>
  </si>
  <si>
    <t>飯田</t>
    <rPh sb="0" eb="2">
      <t>イイダ</t>
    </rPh>
    <phoneticPr fontId="1"/>
  </si>
  <si>
    <t>Riding</t>
    <phoneticPr fontId="1"/>
  </si>
  <si>
    <t>田村</t>
    <rPh sb="0" eb="2">
      <t>タムラ</t>
    </rPh>
    <phoneticPr fontId="1"/>
  </si>
  <si>
    <t>赤木　美咲</t>
    <phoneticPr fontId="1"/>
  </si>
  <si>
    <t>メグ</t>
    <phoneticPr fontId="1"/>
  </si>
  <si>
    <t>石坂</t>
    <rPh sb="0" eb="2">
      <t>イシザカ</t>
    </rPh>
    <phoneticPr fontId="1"/>
  </si>
  <si>
    <t>木村</t>
    <rPh sb="0" eb="2">
      <t>キムラ</t>
    </rPh>
    <phoneticPr fontId="1"/>
  </si>
  <si>
    <t>太田　友治</t>
    <rPh sb="0" eb="2">
      <t>オオタ</t>
    </rPh>
    <phoneticPr fontId="1"/>
  </si>
  <si>
    <t>JAVA</t>
    <phoneticPr fontId="1"/>
  </si>
  <si>
    <t>営業支援（太田）</t>
    <rPh sb="0" eb="4">
      <t>エイギョウシエン</t>
    </rPh>
    <rPh sb="5" eb="7">
      <t>オオタ</t>
    </rPh>
    <phoneticPr fontId="1"/>
  </si>
  <si>
    <t>トヨタモビリティグループ</t>
    <phoneticPr fontId="1"/>
  </si>
  <si>
    <t>綜合キャリアオプション</t>
    <rPh sb="0" eb="2">
      <t>ソウゴウ</t>
    </rPh>
    <phoneticPr fontId="1"/>
  </si>
  <si>
    <t>関</t>
    <rPh sb="0" eb="1">
      <t>セキ</t>
    </rPh>
    <phoneticPr fontId="1"/>
  </si>
  <si>
    <t>ジオワークス</t>
    <phoneticPr fontId="1"/>
  </si>
  <si>
    <t>矢島</t>
    <rPh sb="0" eb="2">
      <t>ヤジマ</t>
    </rPh>
    <phoneticPr fontId="1"/>
  </si>
  <si>
    <t>土田　基貴</t>
    <rPh sb="0" eb="2">
      <t>ツチダ</t>
    </rPh>
    <phoneticPr fontId="1"/>
  </si>
  <si>
    <t>NRI</t>
    <phoneticPr fontId="1"/>
  </si>
  <si>
    <t>石坂</t>
    <rPh sb="0" eb="2">
      <t>イシザカ</t>
    </rPh>
    <phoneticPr fontId="1"/>
  </si>
  <si>
    <t>西田</t>
    <rPh sb="0" eb="2">
      <t>ニシダ</t>
    </rPh>
    <phoneticPr fontId="1"/>
  </si>
  <si>
    <t>澤田　和也</t>
    <phoneticPr fontId="1"/>
  </si>
  <si>
    <t>AWS　検証</t>
    <rPh sb="4" eb="6">
      <t>ケンショウ</t>
    </rPh>
    <phoneticPr fontId="1"/>
  </si>
  <si>
    <t>生保</t>
    <rPh sb="0" eb="2">
      <t>セイホ</t>
    </rPh>
    <phoneticPr fontId="1"/>
  </si>
  <si>
    <t>シートス</t>
    <phoneticPr fontId="1"/>
  </si>
  <si>
    <t>濵田</t>
    <rPh sb="0" eb="2">
      <t>ハマダ</t>
    </rPh>
    <phoneticPr fontId="1"/>
  </si>
  <si>
    <t>バイリンガルゲート</t>
    <phoneticPr fontId="1"/>
  </si>
  <si>
    <t>矢島</t>
    <rPh sb="0" eb="2">
      <t>ヤジマ</t>
    </rPh>
    <phoneticPr fontId="1"/>
  </si>
  <si>
    <t>古山　晶美</t>
    <phoneticPr fontId="1"/>
  </si>
  <si>
    <t>テスト　英語</t>
    <rPh sb="4" eb="6">
      <t>エイゴ</t>
    </rPh>
    <phoneticPr fontId="1"/>
  </si>
  <si>
    <t>内田</t>
    <rPh sb="0" eb="2">
      <t>ウチダ</t>
    </rPh>
    <phoneticPr fontId="1"/>
  </si>
  <si>
    <t>再春館システム</t>
    <rPh sb="0" eb="3">
      <t>サイシュンカン</t>
    </rPh>
    <phoneticPr fontId="1"/>
  </si>
  <si>
    <t>稲葉</t>
    <rPh sb="0" eb="2">
      <t>イナバ</t>
    </rPh>
    <phoneticPr fontId="1"/>
  </si>
  <si>
    <t>梅本　陽佑</t>
    <rPh sb="0" eb="2">
      <t>ウメモト</t>
    </rPh>
    <phoneticPr fontId="1"/>
  </si>
  <si>
    <t>C#.NET</t>
    <phoneticPr fontId="1"/>
  </si>
  <si>
    <t>製造業</t>
    <rPh sb="0" eb="3">
      <t>セイゾウギョウ</t>
    </rPh>
    <phoneticPr fontId="1"/>
  </si>
  <si>
    <t>Zero Networks</t>
    <phoneticPr fontId="1"/>
  </si>
  <si>
    <t>前川</t>
    <rPh sb="0" eb="2">
      <t>マエカワ</t>
    </rPh>
    <phoneticPr fontId="1"/>
  </si>
  <si>
    <t>リアステージ</t>
    <phoneticPr fontId="1"/>
  </si>
  <si>
    <t>矢嶋</t>
    <rPh sb="0" eb="2">
      <t>ヤジマ</t>
    </rPh>
    <phoneticPr fontId="1"/>
  </si>
  <si>
    <t>佐久間　利徳</t>
    <rPh sb="0" eb="3">
      <t>サクマ</t>
    </rPh>
    <phoneticPr fontId="1"/>
  </si>
  <si>
    <t>NW構築運用</t>
    <rPh sb="2" eb="4">
      <t>コウチク</t>
    </rPh>
    <rPh sb="4" eb="6">
      <t>ウンヨウ</t>
    </rPh>
    <phoneticPr fontId="1"/>
  </si>
  <si>
    <t>2月受注件数GAP</t>
    <rPh sb="1" eb="2">
      <t>ガツ</t>
    </rPh>
    <rPh sb="2" eb="4">
      <t>ジュチュウ</t>
    </rPh>
    <rPh sb="4" eb="6">
      <t>ケンスウ</t>
    </rPh>
    <phoneticPr fontId="1"/>
  </si>
  <si>
    <t>システム情報</t>
    <rPh sb="4" eb="6">
      <t>ジョウホウ</t>
    </rPh>
    <phoneticPr fontId="1"/>
  </si>
  <si>
    <t>柳木　鈴木</t>
    <rPh sb="0" eb="1">
      <t>ヤナギ</t>
    </rPh>
    <rPh sb="1" eb="2">
      <t>キ</t>
    </rPh>
    <rPh sb="3" eb="5">
      <t>スズキ</t>
    </rPh>
    <phoneticPr fontId="1"/>
  </si>
  <si>
    <t>GEMジャパン</t>
    <phoneticPr fontId="1"/>
  </si>
  <si>
    <t>鳥海</t>
    <rPh sb="0" eb="2">
      <t>トリウミ</t>
    </rPh>
    <phoneticPr fontId="1"/>
  </si>
  <si>
    <t>熊倉　康介</t>
    <phoneticPr fontId="1"/>
  </si>
  <si>
    <t>Windows　Hyper-V　スクリプト</t>
    <phoneticPr fontId="1"/>
  </si>
  <si>
    <t>食品会社</t>
    <rPh sb="0" eb="2">
      <t>ショクヒン</t>
    </rPh>
    <rPh sb="2" eb="4">
      <t>カイシャ</t>
    </rPh>
    <phoneticPr fontId="1"/>
  </si>
  <si>
    <t>アトムシステム</t>
    <phoneticPr fontId="1"/>
  </si>
  <si>
    <t>伊東</t>
    <rPh sb="0" eb="2">
      <t>イトウ</t>
    </rPh>
    <phoneticPr fontId="1"/>
  </si>
  <si>
    <t>木村</t>
    <rPh sb="0" eb="2">
      <t>キムラ</t>
    </rPh>
    <phoneticPr fontId="1"/>
  </si>
  <si>
    <t>近藤　誠</t>
    <rPh sb="0" eb="2">
      <t>コンドウ</t>
    </rPh>
    <rPh sb="3" eb="4">
      <t>マコト</t>
    </rPh>
    <phoneticPr fontId="1"/>
  </si>
  <si>
    <t>上流　テスト推進</t>
    <rPh sb="0" eb="2">
      <t>ジョウリュウ</t>
    </rPh>
    <rPh sb="6" eb="8">
      <t>スイシン</t>
    </rPh>
    <phoneticPr fontId="1"/>
  </si>
  <si>
    <t>営業支援（近藤）</t>
    <rPh sb="0" eb="4">
      <t>エイギョウシエン</t>
    </rPh>
    <rPh sb="5" eb="7">
      <t>コンドウ</t>
    </rPh>
    <phoneticPr fontId="1"/>
  </si>
  <si>
    <t>生保</t>
    <rPh sb="0" eb="2">
      <t>セイホ</t>
    </rPh>
    <phoneticPr fontId="1"/>
  </si>
  <si>
    <t>サイバーコム</t>
    <phoneticPr fontId="1"/>
  </si>
  <si>
    <t>菅野</t>
    <rPh sb="0" eb="2">
      <t>カンノ</t>
    </rPh>
    <phoneticPr fontId="1"/>
  </si>
  <si>
    <t>大倉</t>
    <rPh sb="0" eb="2">
      <t>オオクラ</t>
    </rPh>
    <phoneticPr fontId="1"/>
  </si>
  <si>
    <t>渋谷　一帆</t>
    <rPh sb="0" eb="2">
      <t>シブヤ</t>
    </rPh>
    <rPh sb="3" eb="5">
      <t>カズホ</t>
    </rPh>
    <phoneticPr fontId="1"/>
  </si>
  <si>
    <t>JAVA</t>
    <phoneticPr fontId="1"/>
  </si>
  <si>
    <t>金融</t>
    <rPh sb="0" eb="2">
      <t>キンユウ</t>
    </rPh>
    <phoneticPr fontId="1"/>
  </si>
  <si>
    <t>伊東</t>
    <phoneticPr fontId="1"/>
  </si>
  <si>
    <t>吉田　早知男</t>
    <phoneticPr fontId="1"/>
  </si>
  <si>
    <t>PL/SQL</t>
    <phoneticPr fontId="1"/>
  </si>
  <si>
    <t>物流</t>
    <rPh sb="0" eb="2">
      <t>ブツリュウ</t>
    </rPh>
    <phoneticPr fontId="1"/>
  </si>
  <si>
    <t>濱田</t>
    <rPh sb="0" eb="2">
      <t>ハマダ</t>
    </rPh>
    <phoneticPr fontId="1"/>
  </si>
  <si>
    <t>日本IDS</t>
    <rPh sb="0" eb="2">
      <t>ニホン</t>
    </rPh>
    <phoneticPr fontId="1"/>
  </si>
  <si>
    <t>杉江</t>
    <rPh sb="0" eb="2">
      <t>スギエ</t>
    </rPh>
    <phoneticPr fontId="1"/>
  </si>
  <si>
    <t>古橋　敏郎</t>
    <phoneticPr fontId="1"/>
  </si>
  <si>
    <t>Pro＊COBOL</t>
    <phoneticPr fontId="1"/>
  </si>
  <si>
    <t>石坂</t>
    <rPh sb="0" eb="2">
      <t>イシザカ</t>
    </rPh>
    <phoneticPr fontId="1"/>
  </si>
  <si>
    <t>木村</t>
    <rPh sb="0" eb="2">
      <t>キムラ</t>
    </rPh>
    <phoneticPr fontId="1"/>
  </si>
  <si>
    <t>今泉　誠</t>
    <phoneticPr fontId="1"/>
  </si>
  <si>
    <t>A-STAR</t>
    <phoneticPr fontId="1"/>
  </si>
  <si>
    <t>営業支援（今泉）</t>
    <rPh sb="0" eb="4">
      <t>エイギョウシエン</t>
    </rPh>
    <rPh sb="5" eb="7">
      <t>イマイズミ</t>
    </rPh>
    <phoneticPr fontId="1"/>
  </si>
  <si>
    <t>高速道路管理会社</t>
    <phoneticPr fontId="1"/>
  </si>
  <si>
    <t>OKIソフトウェア</t>
    <phoneticPr fontId="1"/>
  </si>
  <si>
    <t>スーパーリージョナル　</t>
    <phoneticPr fontId="1"/>
  </si>
  <si>
    <t>清原</t>
    <rPh sb="0" eb="2">
      <t>キヨハラ</t>
    </rPh>
    <phoneticPr fontId="1"/>
  </si>
  <si>
    <t>日本IDS</t>
    <rPh sb="0" eb="2">
      <t>ニホン</t>
    </rPh>
    <phoneticPr fontId="1"/>
  </si>
  <si>
    <t>杉江</t>
    <rPh sb="0" eb="2">
      <t>スギエ</t>
    </rPh>
    <phoneticPr fontId="1"/>
  </si>
  <si>
    <t>村岡　敬</t>
    <phoneticPr fontId="1"/>
  </si>
  <si>
    <t>C　C++</t>
    <phoneticPr fontId="1"/>
  </si>
  <si>
    <t>電子工学センター</t>
    <rPh sb="0" eb="2">
      <t>デンシ</t>
    </rPh>
    <rPh sb="2" eb="4">
      <t>コウガク</t>
    </rPh>
    <phoneticPr fontId="1"/>
  </si>
  <si>
    <t>阿部</t>
    <rPh sb="0" eb="2">
      <t>アベ</t>
    </rPh>
    <phoneticPr fontId="1"/>
  </si>
  <si>
    <t>東　駿</t>
    <phoneticPr fontId="1"/>
  </si>
  <si>
    <t>鈴木　勝俣</t>
    <rPh sb="0" eb="2">
      <t>スズキ</t>
    </rPh>
    <rPh sb="3" eb="5">
      <t>カツマタ</t>
    </rPh>
    <phoneticPr fontId="1"/>
  </si>
  <si>
    <t>システム情報</t>
    <rPh sb="4" eb="6">
      <t>ジョウホウ</t>
    </rPh>
    <phoneticPr fontId="1"/>
  </si>
  <si>
    <t>柳木　鈴木</t>
    <rPh sb="0" eb="1">
      <t>ヤナギ</t>
    </rPh>
    <rPh sb="1" eb="2">
      <t>キ</t>
    </rPh>
    <rPh sb="3" eb="5">
      <t>スズキ</t>
    </rPh>
    <phoneticPr fontId="1"/>
  </si>
  <si>
    <t>スカイム</t>
    <phoneticPr fontId="1"/>
  </si>
  <si>
    <t>徳永</t>
    <rPh sb="0" eb="2">
      <t>トクナガ</t>
    </rPh>
    <phoneticPr fontId="1"/>
  </si>
  <si>
    <t>本木　健一</t>
    <phoneticPr fontId="1"/>
  </si>
  <si>
    <t>クライアント設計構築</t>
    <rPh sb="6" eb="8">
      <t>セッケイ</t>
    </rPh>
    <rPh sb="8" eb="10">
      <t>コウチク</t>
    </rPh>
    <phoneticPr fontId="1"/>
  </si>
  <si>
    <t>3月末落ち件数</t>
    <rPh sb="1" eb="2">
      <t>ガツ</t>
    </rPh>
    <rPh sb="2" eb="3">
      <t>マツ</t>
    </rPh>
    <rPh sb="3" eb="4">
      <t>オ</t>
    </rPh>
    <rPh sb="5" eb="7">
      <t>ケンスウ</t>
    </rPh>
    <phoneticPr fontId="1"/>
  </si>
  <si>
    <t>3月新規受注件数</t>
    <rPh sb="1" eb="2">
      <t>ガツ</t>
    </rPh>
    <rPh sb="2" eb="4">
      <t>シンキ</t>
    </rPh>
    <rPh sb="4" eb="6">
      <t>ジュチュウ</t>
    </rPh>
    <rPh sb="6" eb="8">
      <t>ケンスウ</t>
    </rPh>
    <phoneticPr fontId="1"/>
  </si>
  <si>
    <t>3月新規受注件数目標</t>
    <rPh sb="1" eb="2">
      <t>ガツ</t>
    </rPh>
    <rPh sb="2" eb="4">
      <t>シンキ</t>
    </rPh>
    <rPh sb="4" eb="6">
      <t>ジュチュウ</t>
    </rPh>
    <rPh sb="6" eb="8">
      <t>ケンスウ</t>
    </rPh>
    <rPh sb="8" eb="10">
      <t>モクヒョウ</t>
    </rPh>
    <phoneticPr fontId="1"/>
  </si>
  <si>
    <t>3月木村受注件数</t>
    <rPh sb="1" eb="2">
      <t>ガツ</t>
    </rPh>
    <rPh sb="2" eb="4">
      <t>キムラ</t>
    </rPh>
    <rPh sb="4" eb="6">
      <t>ジュチュウ</t>
    </rPh>
    <rPh sb="6" eb="8">
      <t>ケンスウ</t>
    </rPh>
    <phoneticPr fontId="1"/>
  </si>
  <si>
    <t>3月中村受注件数</t>
    <rPh sb="1" eb="2">
      <t>ガツ</t>
    </rPh>
    <rPh sb="2" eb="4">
      <t>ナカムラ</t>
    </rPh>
    <rPh sb="4" eb="6">
      <t>ジュチュウ</t>
    </rPh>
    <rPh sb="6" eb="8">
      <t>ケンスウ</t>
    </rPh>
    <phoneticPr fontId="1"/>
  </si>
  <si>
    <t>3月大村受注件数</t>
    <rPh sb="1" eb="2">
      <t>ガツ</t>
    </rPh>
    <rPh sb="2" eb="4">
      <t>オオムラ</t>
    </rPh>
    <rPh sb="4" eb="6">
      <t>ジュチュウ</t>
    </rPh>
    <rPh sb="6" eb="8">
      <t>ケンスウ</t>
    </rPh>
    <phoneticPr fontId="1"/>
  </si>
  <si>
    <t>3月大倉受注件数</t>
    <rPh sb="1" eb="2">
      <t>ガツ</t>
    </rPh>
    <rPh sb="2" eb="4">
      <t>オオクラ</t>
    </rPh>
    <rPh sb="4" eb="6">
      <t>ジュチュウ</t>
    </rPh>
    <rPh sb="6" eb="8">
      <t>ケンスウ</t>
    </rPh>
    <phoneticPr fontId="1"/>
  </si>
  <si>
    <t>メーカー</t>
    <phoneticPr fontId="1"/>
  </si>
  <si>
    <t>ビッグハンズ</t>
    <phoneticPr fontId="1"/>
  </si>
  <si>
    <t>王</t>
    <rPh sb="0" eb="1">
      <t>オウ</t>
    </rPh>
    <phoneticPr fontId="1"/>
  </si>
  <si>
    <t>Zero Networks</t>
    <phoneticPr fontId="1"/>
  </si>
  <si>
    <t>前川</t>
    <rPh sb="0" eb="2">
      <t>マエカワ</t>
    </rPh>
    <phoneticPr fontId="1"/>
  </si>
  <si>
    <t>深田　和也</t>
    <rPh sb="0" eb="2">
      <t>フカダ</t>
    </rPh>
    <phoneticPr fontId="1"/>
  </si>
  <si>
    <t>Zabbix　構築運用</t>
    <rPh sb="7" eb="9">
      <t>コウチク</t>
    </rPh>
    <rPh sb="9" eb="11">
      <t>ウンヨウ</t>
    </rPh>
    <phoneticPr fontId="1"/>
  </si>
  <si>
    <t>官公庁</t>
    <rPh sb="0" eb="3">
      <t>カンコウチョウ</t>
    </rPh>
    <phoneticPr fontId="1"/>
  </si>
  <si>
    <t>テイルウィンドシステム</t>
    <phoneticPr fontId="1"/>
  </si>
  <si>
    <t>三浦</t>
    <rPh sb="0" eb="2">
      <t>ミウラ</t>
    </rPh>
    <phoneticPr fontId="1"/>
  </si>
  <si>
    <t>木村</t>
    <rPh sb="0" eb="1">
      <t>キ</t>
    </rPh>
    <rPh sb="1" eb="2">
      <t>ムラ</t>
    </rPh>
    <phoneticPr fontId="1"/>
  </si>
  <si>
    <t>神田　雄一郎</t>
    <phoneticPr fontId="1"/>
  </si>
  <si>
    <t>営業支援（神田）</t>
    <rPh sb="0" eb="4">
      <t>エイギョウシエン</t>
    </rPh>
    <rPh sb="5" eb="7">
      <t>カンダ</t>
    </rPh>
    <phoneticPr fontId="1"/>
  </si>
  <si>
    <t>NTTデータ</t>
    <phoneticPr fontId="1"/>
  </si>
  <si>
    <t>シンセリティリンク</t>
    <phoneticPr fontId="1"/>
  </si>
  <si>
    <t>浅井</t>
    <rPh sb="0" eb="2">
      <t>アサイ</t>
    </rPh>
    <phoneticPr fontId="1"/>
  </si>
  <si>
    <t>丹沢　哲雄</t>
    <phoneticPr fontId="1"/>
  </si>
  <si>
    <t>O365運用</t>
    <rPh sb="4" eb="6">
      <t>ウンヨウ</t>
    </rPh>
    <phoneticPr fontId="1"/>
  </si>
  <si>
    <t>東京海上</t>
    <rPh sb="0" eb="4">
      <t>トウキョウカイジョウ</t>
    </rPh>
    <phoneticPr fontId="1"/>
  </si>
  <si>
    <t>トレックス</t>
    <phoneticPr fontId="1"/>
  </si>
  <si>
    <t>三浦</t>
    <rPh sb="0" eb="2">
      <t>ミウラ</t>
    </rPh>
    <phoneticPr fontId="1"/>
  </si>
  <si>
    <t>メグ</t>
    <phoneticPr fontId="1"/>
  </si>
  <si>
    <t>神田</t>
    <rPh sb="0" eb="2">
      <t>カンダ</t>
    </rPh>
    <phoneticPr fontId="1"/>
  </si>
  <si>
    <t>細野　智之</t>
    <phoneticPr fontId="1"/>
  </si>
  <si>
    <t>AWS構築</t>
    <rPh sb="3" eb="5">
      <t>コウチク</t>
    </rPh>
    <phoneticPr fontId="1"/>
  </si>
  <si>
    <t>自動車メーカー</t>
    <rPh sb="0" eb="3">
      <t>ジドウシャ</t>
    </rPh>
    <phoneticPr fontId="1"/>
  </si>
  <si>
    <t>トリプルアイズ</t>
    <phoneticPr fontId="1"/>
  </si>
  <si>
    <t>岩瀬</t>
    <rPh sb="0" eb="2">
      <t>イワセ</t>
    </rPh>
    <phoneticPr fontId="1"/>
  </si>
  <si>
    <t>バイリンガルゲート</t>
    <phoneticPr fontId="1"/>
  </si>
  <si>
    <t>大津留</t>
    <rPh sb="0" eb="3">
      <t>オオツル</t>
    </rPh>
    <phoneticPr fontId="1"/>
  </si>
  <si>
    <t>白石　正紀</t>
    <rPh sb="0" eb="2">
      <t>シライシ</t>
    </rPh>
    <phoneticPr fontId="1"/>
  </si>
  <si>
    <t>テクニカルサポート</t>
    <phoneticPr fontId="1"/>
  </si>
  <si>
    <t>メーカー</t>
    <phoneticPr fontId="1"/>
  </si>
  <si>
    <t>ＢｅＦｏｒｗａｒｄ</t>
    <phoneticPr fontId="1"/>
  </si>
  <si>
    <t>吉川</t>
    <rPh sb="0" eb="2">
      <t>ヨシカワ</t>
    </rPh>
    <phoneticPr fontId="1"/>
  </si>
  <si>
    <t>エル・フィールド</t>
    <phoneticPr fontId="1"/>
  </si>
  <si>
    <t>近藤</t>
    <rPh sb="0" eb="2">
      <t>コンドウ</t>
    </rPh>
    <phoneticPr fontId="1"/>
  </si>
  <si>
    <t>安村　岳人</t>
    <rPh sb="0" eb="2">
      <t>ヤスムラ</t>
    </rPh>
    <phoneticPr fontId="1"/>
  </si>
  <si>
    <t>要件定義</t>
    <rPh sb="0" eb="4">
      <t>ヨウケンテイギ</t>
    </rPh>
    <phoneticPr fontId="1"/>
  </si>
  <si>
    <t>2.0/6</t>
    <phoneticPr fontId="1"/>
  </si>
  <si>
    <t>0/3</t>
    <phoneticPr fontId="1"/>
  </si>
  <si>
    <t>2012/05/14</t>
  </si>
  <si>
    <t>2021/06/30</t>
  </si>
  <si>
    <t>2012/10/01</t>
  </si>
  <si>
    <t>2015/07/01</t>
  </si>
  <si>
    <t>2015/09/14</t>
  </si>
  <si>
    <t>2016/06/01</t>
  </si>
  <si>
    <t>2021/05/31</t>
  </si>
  <si>
    <t>2016/07/01</t>
  </si>
  <si>
    <t>2017/02/01</t>
  </si>
  <si>
    <t>2021/04/30</t>
  </si>
  <si>
    <t>2016/05/09</t>
  </si>
  <si>
    <t>2017/10/01</t>
  </si>
  <si>
    <t>2017/05/09</t>
  </si>
  <si>
    <t>2017/05/01</t>
  </si>
  <si>
    <t>2017/08/22</t>
  </si>
  <si>
    <t>2017/10/12</t>
  </si>
  <si>
    <t>2017/09/28</t>
  </si>
  <si>
    <t>2022/03/31</t>
  </si>
  <si>
    <t>2018/04/02</t>
  </si>
  <si>
    <t>2018/04/01</t>
  </si>
  <si>
    <t>2018/08/01</t>
  </si>
  <si>
    <t>2018/09/01</t>
  </si>
  <si>
    <t>2018/10/01</t>
  </si>
  <si>
    <t>2019/01/01</t>
  </si>
  <si>
    <t>2019/01/07</t>
  </si>
  <si>
    <t>2018/06/01</t>
  </si>
  <si>
    <t>2018/07/01</t>
  </si>
  <si>
    <t>2019/05/08</t>
  </si>
  <si>
    <t>2019/06/01</t>
  </si>
  <si>
    <t>2019/07/01</t>
  </si>
  <si>
    <t>2018/08/20</t>
  </si>
  <si>
    <t>2021/09/30</t>
  </si>
  <si>
    <t>2018/12/01</t>
  </si>
  <si>
    <t>2019/04/01</t>
  </si>
  <si>
    <t>2019/09/01</t>
  </si>
  <si>
    <t>2019/09/18</t>
  </si>
  <si>
    <t>2019/09/09</t>
  </si>
  <si>
    <t>2019/06/10</t>
  </si>
  <si>
    <t>2021/03/31</t>
  </si>
  <si>
    <t>2019/12/01</t>
  </si>
  <si>
    <t>2020/01/06</t>
  </si>
  <si>
    <t>2020/01/01</t>
  </si>
  <si>
    <t>2020/02/01</t>
  </si>
  <si>
    <t>2020/03/01</t>
  </si>
  <si>
    <t>2020/04/01</t>
  </si>
  <si>
    <t>2020/03/23</t>
  </si>
  <si>
    <t>2020/05/01</t>
  </si>
  <si>
    <t>2020/04/20</t>
  </si>
  <si>
    <t>2020/07/01</t>
  </si>
  <si>
    <t>2020/05/25</t>
  </si>
  <si>
    <t>2020/08/01</t>
  </si>
  <si>
    <t>2020/07/15</t>
  </si>
  <si>
    <t>2019/10/15</t>
  </si>
  <si>
    <t>2020/08/11</t>
  </si>
  <si>
    <t>2020/09/01</t>
  </si>
  <si>
    <t>2020/09/11</t>
  </si>
  <si>
    <t>2020/10/01</t>
  </si>
  <si>
    <t>2020/10/05</t>
  </si>
  <si>
    <t>2019/11/25</t>
  </si>
  <si>
    <t>2021/09/28</t>
  </si>
  <si>
    <t>2020/11/01</t>
  </si>
  <si>
    <t>2020/10/26</t>
  </si>
  <si>
    <t>2021/08/31</t>
  </si>
  <si>
    <t>2020/12/01</t>
  </si>
  <si>
    <t>2020/06/01</t>
  </si>
  <si>
    <t>2020/12/10</t>
  </si>
  <si>
    <t>2021/01/04</t>
  </si>
  <si>
    <t>2021/01/01</t>
  </si>
  <si>
    <t>2021/01/08</t>
  </si>
  <si>
    <t>2021/01/18</t>
  </si>
  <si>
    <t>2021/02/01</t>
  </si>
  <si>
    <t>2021/01/21</t>
  </si>
  <si>
    <t>2021/01/25</t>
  </si>
  <si>
    <t>2021/02/08</t>
  </si>
  <si>
    <t>2021/02/15</t>
  </si>
  <si>
    <t>2021/03/01</t>
  </si>
  <si>
    <t>2021/04/01</t>
  </si>
  <si>
    <t>2021/03/11</t>
  </si>
  <si>
    <t>2020/04/13</t>
  </si>
  <si>
    <t>2018/06/30</t>
  </si>
  <si>
    <t>2018/09/30</t>
  </si>
  <si>
    <t>2018/12/31</t>
  </si>
  <si>
    <t>2019/03/31</t>
  </si>
  <si>
    <t>2020/06/30</t>
  </si>
  <si>
    <t>2020/06/25</t>
  </si>
  <si>
    <t>2020/09/30</t>
  </si>
  <si>
    <t>2020/12/31</t>
  </si>
  <si>
    <t>2017/02/28</t>
  </si>
  <si>
    <t>2017/12/31</t>
  </si>
  <si>
    <t>2019/09/30</t>
  </si>
  <si>
    <t>2019/10/31</t>
  </si>
  <si>
    <t>2019/12/31</t>
  </si>
  <si>
    <t>2020/03/31</t>
  </si>
  <si>
    <t>2020/05/31</t>
  </si>
  <si>
    <t>2020/04/30</t>
  </si>
  <si>
    <t>2020/07/31</t>
  </si>
  <si>
    <t>2020/11/30</t>
  </si>
  <si>
    <t>2021/02/28</t>
  </si>
  <si>
    <t>2021/01/31</t>
  </si>
  <si>
    <t>2019/06/30</t>
  </si>
  <si>
    <t>2019/07/31</t>
  </si>
  <si>
    <t>2019/08/31</t>
  </si>
  <si>
    <t>2020/10/31</t>
  </si>
  <si>
    <t>2012/06/30</t>
  </si>
  <si>
    <t>2012/12/31</t>
  </si>
  <si>
    <t>2016/07/31</t>
  </si>
  <si>
    <t>2016/09/30</t>
  </si>
  <si>
    <t>2018/03/31</t>
  </si>
  <si>
    <t>2015/09/30</t>
  </si>
  <si>
    <t>2015/12/31</t>
  </si>
  <si>
    <t>2016/02/01</t>
  </si>
  <si>
    <t>2016/02/29</t>
  </si>
  <si>
    <t>2017/03/08</t>
  </si>
  <si>
    <t>2017/03/31</t>
  </si>
  <si>
    <t>2017/04/30</t>
  </si>
  <si>
    <t>2017/05/31</t>
  </si>
  <si>
    <t>　</t>
    <phoneticPr fontId="1"/>
  </si>
  <si>
    <t>　</t>
    <phoneticPr fontId="1"/>
  </si>
  <si>
    <t>　</t>
    <phoneticPr fontId="1"/>
  </si>
  <si>
    <t>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</si>
</sst>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176" formatCode="0.0%"/>
    <numFmt numFmtId="177" formatCode="#,##0_ "/>
    <numFmt numFmtId="178" formatCode="#,##0.0_ 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CDD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5" fontId="0" fillId="0" borderId="0" xfId="0" applyNumberFormat="1" applyAlignment="1">
      <alignment vertical="center" shrinkToFit="1"/>
    </xf>
    <xf numFmtId="0" fontId="0" fillId="0" borderId="5" xfId="0" applyBorder="1" applyAlignment="1">
      <alignment vertical="center" shrinkToFit="1"/>
    </xf>
    <xf numFmtId="0" fontId="2" fillId="0" borderId="1" xfId="0" applyFont="1" applyBorder="1" applyAlignment="1">
      <alignment vertical="center" shrinkToFit="1"/>
    </xf>
    <xf numFmtId="5" fontId="2" fillId="0" borderId="1" xfId="0" applyNumberFormat="1" applyFont="1" applyBorder="1" applyAlignment="1">
      <alignment vertical="center" shrinkToFit="1"/>
    </xf>
    <xf numFmtId="176" fontId="2" fillId="0" borderId="1" xfId="0" applyNumberFormat="1" applyFont="1" applyBorder="1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vertical="center" shrinkToFit="1"/>
    </xf>
    <xf numFmtId="5" fontId="3" fillId="2" borderId="1" xfId="0" applyNumberFormat="1" applyFont="1" applyFill="1" applyBorder="1" applyAlignment="1">
      <alignment vertical="center" shrinkToFit="1"/>
    </xf>
    <xf numFmtId="0" fontId="0" fillId="0" borderId="7" xfId="0" applyBorder="1" applyAlignment="1">
      <alignment vertical="center" shrinkToFit="1"/>
    </xf>
    <xf numFmtId="5" fontId="0" fillId="0" borderId="7" xfId="0" applyNumberFormat="1" applyBorder="1" applyAlignment="1">
      <alignment vertical="center" shrinkToFit="1"/>
    </xf>
    <xf numFmtId="176" fontId="0" fillId="0" borderId="8" xfId="0" applyNumberFormat="1" applyBorder="1">
      <alignment vertical="center"/>
    </xf>
    <xf numFmtId="0" fontId="4" fillId="0" borderId="7" xfId="0" applyFont="1" applyBorder="1" applyAlignment="1">
      <alignment vertical="center" shrinkToFit="1"/>
    </xf>
    <xf numFmtId="0" fontId="5" fillId="0" borderId="7" xfId="0" applyFont="1" applyBorder="1" applyAlignment="1">
      <alignment vertical="center" shrinkToFit="1"/>
    </xf>
    <xf numFmtId="5" fontId="0" fillId="0" borderId="1" xfId="0" applyNumberFormat="1" applyBorder="1" applyAlignment="1">
      <alignment vertical="center" shrinkToFit="1"/>
    </xf>
    <xf numFmtId="0" fontId="3" fillId="2" borderId="9" xfId="0" applyFont="1" applyFill="1" applyBorder="1">
      <alignment vertical="center"/>
    </xf>
    <xf numFmtId="178" fontId="0" fillId="0" borderId="1" xfId="0" applyNumberFormat="1" applyBorder="1" applyAlignment="1">
      <alignment vertical="center" shrinkToFit="1"/>
    </xf>
    <xf numFmtId="0" fontId="2" fillId="0" borderId="1" xfId="0" applyFont="1" applyBorder="1">
      <alignment vertical="center"/>
    </xf>
    <xf numFmtId="0" fontId="3" fillId="2" borderId="10" xfId="0" applyFont="1" applyFill="1" applyBorder="1">
      <alignment vertical="center"/>
    </xf>
    <xf numFmtId="0" fontId="3" fillId="2" borderId="11" xfId="0" applyFont="1" applyFill="1" applyBorder="1">
      <alignment vertical="center"/>
    </xf>
    <xf numFmtId="5" fontId="0" fillId="0" borderId="3" xfId="0" applyNumberFormat="1" applyBorder="1">
      <alignment vertical="center"/>
    </xf>
    <xf numFmtId="5" fontId="0" fillId="0" borderId="2" xfId="0" applyNumberFormat="1" applyBorder="1">
      <alignment vertical="center"/>
    </xf>
    <xf numFmtId="5" fontId="2" fillId="0" borderId="1" xfId="0" applyNumberFormat="1" applyFont="1" applyBorder="1">
      <alignment vertical="center"/>
    </xf>
    <xf numFmtId="5" fontId="3" fillId="2" borderId="12" xfId="0" applyNumberFormat="1" applyFont="1" applyFill="1" applyBorder="1" applyAlignment="1">
      <alignment vertical="center" shrinkToFit="1"/>
    </xf>
    <xf numFmtId="176" fontId="2" fillId="0" borderId="12" xfId="0" applyNumberFormat="1" applyFont="1" applyBorder="1">
      <alignment vertical="center"/>
    </xf>
    <xf numFmtId="0" fontId="3" fillId="2" borderId="13" xfId="0" applyFont="1" applyFill="1" applyBorder="1">
      <alignment vertical="center"/>
    </xf>
    <xf numFmtId="5" fontId="0" fillId="0" borderId="7" xfId="0" applyNumberFormat="1" applyBorder="1">
      <alignment vertical="center"/>
    </xf>
    <xf numFmtId="0" fontId="0" fillId="0" borderId="6" xfId="0" applyBorder="1">
      <alignment vertical="center"/>
    </xf>
    <xf numFmtId="0" fontId="7" fillId="0" borderId="7" xfId="0" applyFont="1" applyBorder="1" applyAlignment="1">
      <alignment vertical="center" shrinkToFit="1"/>
    </xf>
    <xf numFmtId="0" fontId="8" fillId="0" borderId="0" xfId="0" applyFont="1">
      <alignment vertical="center"/>
    </xf>
    <xf numFmtId="0" fontId="8" fillId="2" borderId="1" xfId="0" applyFont="1" applyFill="1" applyBorder="1" applyAlignment="1">
      <alignment vertical="center" shrinkToFit="1"/>
    </xf>
    <xf numFmtId="5" fontId="8" fillId="2" borderId="1" xfId="0" applyNumberFormat="1" applyFont="1" applyFill="1" applyBorder="1" applyAlignment="1">
      <alignment vertical="center" shrinkToFit="1"/>
    </xf>
    <xf numFmtId="0" fontId="9" fillId="0" borderId="0" xfId="0" applyFont="1">
      <alignment vertical="center"/>
    </xf>
    <xf numFmtId="0" fontId="9" fillId="0" borderId="7" xfId="0" applyFont="1" applyBorder="1" applyAlignment="1">
      <alignment vertical="center" shrinkToFit="1"/>
    </xf>
    <xf numFmtId="0" fontId="10" fillId="0" borderId="7" xfId="0" applyFont="1" applyBorder="1" applyAlignment="1">
      <alignment vertical="center" shrinkToFit="1"/>
    </xf>
    <xf numFmtId="5" fontId="9" fillId="0" borderId="7" xfId="0" applyNumberFormat="1" applyFont="1" applyBorder="1" applyAlignment="1">
      <alignment vertical="center" shrinkToFit="1"/>
    </xf>
    <xf numFmtId="176" fontId="9" fillId="0" borderId="8" xfId="0" applyNumberFormat="1" applyFont="1" applyBorder="1">
      <alignment vertical="center"/>
    </xf>
    <xf numFmtId="0" fontId="9" fillId="0" borderId="0" xfId="0" applyFont="1" applyAlignment="1">
      <alignment vertical="center" shrinkToFit="1"/>
    </xf>
    <xf numFmtId="5" fontId="9" fillId="0" borderId="1" xfId="0" applyNumberFormat="1" applyFont="1" applyBorder="1" applyAlignment="1">
      <alignment vertical="center" shrinkToFit="1"/>
    </xf>
    <xf numFmtId="5" fontId="9" fillId="0" borderId="0" xfId="0" applyNumberFormat="1" applyFont="1" applyAlignment="1">
      <alignment vertical="center" shrinkToFit="1"/>
    </xf>
    <xf numFmtId="177" fontId="9" fillId="0" borderId="1" xfId="0" applyNumberFormat="1" applyFont="1" applyBorder="1" applyAlignment="1">
      <alignment vertical="center" shrinkToFit="1"/>
    </xf>
    <xf numFmtId="178" fontId="9" fillId="0" borderId="1" xfId="0" applyNumberFormat="1" applyFont="1" applyBorder="1" applyAlignment="1">
      <alignment vertical="center" shrinkToFit="1"/>
    </xf>
    <xf numFmtId="12" fontId="0" fillId="0" borderId="1" xfId="0" applyNumberFormat="1" applyBorder="1" applyAlignment="1">
      <alignment horizontal="right" vertical="center" shrinkToFit="1"/>
    </xf>
    <xf numFmtId="5" fontId="6" fillId="0" borderId="1" xfId="0" applyNumberFormat="1" applyFont="1" applyBorder="1" applyAlignment="1">
      <alignment vertical="center" shrinkToFit="1"/>
    </xf>
    <xf numFmtId="177" fontId="7" fillId="0" borderId="1" xfId="0" applyNumberFormat="1" applyFont="1" applyBorder="1" applyAlignment="1">
      <alignment vertical="center" shrinkToFit="1"/>
    </xf>
    <xf numFmtId="0" fontId="5" fillId="0" borderId="5" xfId="0" applyFont="1" applyBorder="1" applyAlignment="1">
      <alignment vertical="center" shrinkToFit="1"/>
    </xf>
    <xf numFmtId="0" fontId="11" fillId="0" borderId="7" xfId="0" applyFont="1" applyBorder="1" applyAlignment="1">
      <alignment vertical="center" shrinkToFit="1"/>
    </xf>
    <xf numFmtId="14" fontId="8" fillId="2" borderId="1" xfId="0" applyNumberFormat="1" applyFont="1" applyFill="1" applyBorder="1" applyAlignment="1">
      <alignment vertical="center" shrinkToFit="1"/>
    </xf>
    <xf numFmtId="14" fontId="9" fillId="0" borderId="0" xfId="0" applyNumberFormat="1" applyFont="1" applyAlignment="1">
      <alignment vertical="center" shrinkToFit="1"/>
    </xf>
    <xf numFmtId="49" fontId="0" fillId="0" borderId="6" xfId="0" applyNumberFormat="1" applyBorder="1" applyAlignment="1">
      <alignment vertical="center" shrinkToFit="1"/>
    </xf>
    <xf numFmtId="49" fontId="0" fillId="0" borderId="7" xfId="0" applyNumberFormat="1" applyBorder="1" applyAlignment="1">
      <alignment vertical="center" shrinkToFit="1"/>
    </xf>
    <xf numFmtId="49" fontId="0" fillId="0" borderId="4" xfId="0" applyNumberFormat="1" applyBorder="1" applyAlignment="1">
      <alignment vertical="center" shrinkToFit="1"/>
    </xf>
    <xf numFmtId="49" fontId="0" fillId="0" borderId="5" xfId="0" applyNumberFormat="1" applyBorder="1" applyAlignment="1">
      <alignment vertical="center" shrinkToFit="1"/>
    </xf>
    <xf numFmtId="0" fontId="0" fillId="0" borderId="7" xfId="0" applyFont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CD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219075</xdr:colOff>
          <xdr:row>11</xdr:row>
          <xdr:rowOff>0</xdr:rowOff>
        </xdr:from>
        <xdr:to>
          <xdr:col>19</xdr:col>
          <xdr:colOff>85725</xdr:colOff>
          <xdr:row>13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P143"/>
  <sheetViews>
    <sheetView zoomScaleNormal="100" workbookViewId="0">
      <pane ySplit="4" topLeftCell="A101" activePane="bottomLeft" state="frozen"/>
      <selection pane="bottomLeft" activeCell="B5" sqref="B5:B130"/>
    </sheetView>
  </sheetViews>
  <sheetFormatPr defaultColWidth="8.75" defaultRowHeight="13.5"/>
  <cols>
    <col min="1" max="1" width="3.875" style="33" customWidth="1"/>
    <col min="2" max="3" width="13.625" style="49" customWidth="1"/>
    <col min="4" max="11" width="13.625" style="38" customWidth="1"/>
    <col min="12" max="15" width="13.625" style="40" customWidth="1"/>
    <col min="16" max="16" width="13.625" style="33" customWidth="1"/>
    <col min="17" max="16384" width="8.75" style="33"/>
  </cols>
  <sheetData>
    <row r="4" spans="1:16" s="30" customFormat="1">
      <c r="B4" s="48" t="s">
        <v>0</v>
      </c>
      <c r="C4" s="48" t="s">
        <v>1</v>
      </c>
      <c r="D4" s="31" t="s">
        <v>14</v>
      </c>
      <c r="E4" s="31" t="s">
        <v>4</v>
      </c>
      <c r="F4" s="31" t="s">
        <v>2</v>
      </c>
      <c r="G4" s="31" t="s">
        <v>6</v>
      </c>
      <c r="H4" s="31" t="s">
        <v>3</v>
      </c>
      <c r="I4" s="31" t="s">
        <v>7</v>
      </c>
      <c r="J4" s="31" t="s">
        <v>5</v>
      </c>
      <c r="K4" s="31" t="s">
        <v>15</v>
      </c>
      <c r="L4" s="32" t="s">
        <v>8</v>
      </c>
      <c r="M4" s="32" t="s">
        <v>9</v>
      </c>
      <c r="N4" s="32" t="s">
        <v>11</v>
      </c>
      <c r="O4" s="32" t="s">
        <v>10</v>
      </c>
      <c r="P4" s="32" t="s">
        <v>12</v>
      </c>
    </row>
    <row r="5" spans="1:16">
      <c r="A5" s="33">
        <v>1</v>
      </c>
      <c r="B5" s="50" t="s">
        <v>776</v>
      </c>
      <c r="C5" s="51" t="s">
        <v>777</v>
      </c>
      <c r="D5" s="34" t="s">
        <v>317</v>
      </c>
      <c r="E5" s="34" t="s">
        <v>24</v>
      </c>
      <c r="F5" s="34" t="s">
        <v>24</v>
      </c>
      <c r="G5" s="34" t="s">
        <v>25</v>
      </c>
      <c r="H5" s="34" t="s">
        <v>26</v>
      </c>
      <c r="I5" s="34" t="s">
        <v>27</v>
      </c>
      <c r="J5" s="35" t="s">
        <v>28</v>
      </c>
      <c r="K5" s="34" t="s">
        <v>29</v>
      </c>
      <c r="L5" s="36">
        <v>620000</v>
      </c>
      <c r="M5" s="36">
        <v>360000</v>
      </c>
      <c r="N5" s="36"/>
      <c r="O5" s="36">
        <f t="shared" ref="O5:O36" si="0">L5-M5-N5</f>
        <v>260000</v>
      </c>
      <c r="P5" s="37">
        <f t="shared" ref="P5:P36" si="1">IF(VALUE(L5)&lt;=0,0,O5/L5)</f>
        <v>0.41935483870967744</v>
      </c>
    </row>
    <row r="6" spans="1:16">
      <c r="A6" s="33">
        <v>2</v>
      </c>
      <c r="B6" s="50" t="s">
        <v>778</v>
      </c>
      <c r="C6" s="51" t="s">
        <v>777</v>
      </c>
      <c r="D6" s="34" t="s">
        <v>30</v>
      </c>
      <c r="E6" s="54" t="s">
        <v>894</v>
      </c>
      <c r="F6" s="54" t="s">
        <v>892</v>
      </c>
      <c r="G6" s="10" t="s">
        <v>330</v>
      </c>
      <c r="H6" s="34" t="s">
        <v>33</v>
      </c>
      <c r="I6" s="34" t="s">
        <v>34</v>
      </c>
      <c r="J6" s="14" t="s">
        <v>36</v>
      </c>
      <c r="K6" s="34" t="s">
        <v>35</v>
      </c>
      <c r="L6" s="36">
        <v>700000</v>
      </c>
      <c r="M6" s="36">
        <v>460000</v>
      </c>
      <c r="N6" s="36"/>
      <c r="O6" s="36">
        <f t="shared" si="0"/>
        <v>240000</v>
      </c>
      <c r="P6" s="37">
        <f t="shared" si="1"/>
        <v>0.34285714285714286</v>
      </c>
    </row>
    <row r="7" spans="1:16">
      <c r="A7" s="33">
        <v>3</v>
      </c>
      <c r="B7" s="50" t="s">
        <v>779</v>
      </c>
      <c r="C7" s="51" t="s">
        <v>777</v>
      </c>
      <c r="D7" s="34" t="s">
        <v>318</v>
      </c>
      <c r="E7" s="34" t="s">
        <v>41</v>
      </c>
      <c r="F7" s="34" t="s">
        <v>44</v>
      </c>
      <c r="G7" s="34" t="s">
        <v>548</v>
      </c>
      <c r="H7" s="34" t="s">
        <v>46</v>
      </c>
      <c r="I7" s="34" t="s">
        <v>47</v>
      </c>
      <c r="J7" s="14" t="s">
        <v>48</v>
      </c>
      <c r="K7" s="34" t="s">
        <v>49</v>
      </c>
      <c r="L7" s="36">
        <v>620000</v>
      </c>
      <c r="M7" s="36">
        <v>590000</v>
      </c>
      <c r="N7" s="36"/>
      <c r="O7" s="36">
        <f t="shared" si="0"/>
        <v>30000</v>
      </c>
      <c r="P7" s="37">
        <f t="shared" si="1"/>
        <v>4.8387096774193547E-2</v>
      </c>
    </row>
    <row r="8" spans="1:16">
      <c r="A8" s="33">
        <v>4</v>
      </c>
      <c r="B8" s="50" t="s">
        <v>780</v>
      </c>
      <c r="C8" s="51" t="s">
        <v>777</v>
      </c>
      <c r="D8" s="34" t="s">
        <v>17</v>
      </c>
      <c r="E8" s="34"/>
      <c r="F8" s="34" t="s">
        <v>50</v>
      </c>
      <c r="G8" s="34" t="s">
        <v>51</v>
      </c>
      <c r="H8" s="34" t="s">
        <v>52</v>
      </c>
      <c r="I8" s="34" t="s">
        <v>120</v>
      </c>
      <c r="J8" s="14" t="s">
        <v>54</v>
      </c>
      <c r="K8" s="34" t="s">
        <v>55</v>
      </c>
      <c r="L8" s="36">
        <v>510000</v>
      </c>
      <c r="M8" s="36">
        <v>470000</v>
      </c>
      <c r="N8" s="36"/>
      <c r="O8" s="36">
        <f t="shared" si="0"/>
        <v>40000</v>
      </c>
      <c r="P8" s="37">
        <f t="shared" si="1"/>
        <v>7.8431372549019607E-2</v>
      </c>
    </row>
    <row r="9" spans="1:16">
      <c r="A9" s="33">
        <v>5</v>
      </c>
      <c r="B9" s="50" t="s">
        <v>781</v>
      </c>
      <c r="C9" s="51" t="s">
        <v>782</v>
      </c>
      <c r="D9" s="34" t="s">
        <v>65</v>
      </c>
      <c r="E9" s="34" t="s">
        <v>66</v>
      </c>
      <c r="F9" s="34" t="s">
        <v>66</v>
      </c>
      <c r="G9" s="34" t="s">
        <v>67</v>
      </c>
      <c r="H9" s="34" t="s">
        <v>63</v>
      </c>
      <c r="I9" s="34" t="s">
        <v>64</v>
      </c>
      <c r="J9" s="35" t="s">
        <v>68</v>
      </c>
      <c r="K9" s="34" t="s">
        <v>69</v>
      </c>
      <c r="L9" s="36">
        <v>580000</v>
      </c>
      <c r="M9" s="36">
        <v>375000</v>
      </c>
      <c r="N9" s="36"/>
      <c r="O9" s="36">
        <f t="shared" si="0"/>
        <v>205000</v>
      </c>
      <c r="P9" s="37">
        <f t="shared" si="1"/>
        <v>0.35344827586206895</v>
      </c>
    </row>
    <row r="10" spans="1:16">
      <c r="A10" s="33">
        <v>6</v>
      </c>
      <c r="B10" s="50" t="s">
        <v>783</v>
      </c>
      <c r="C10" s="51" t="s">
        <v>777</v>
      </c>
      <c r="D10" s="34" t="s">
        <v>72</v>
      </c>
      <c r="E10" s="54"/>
      <c r="F10" s="34" t="s">
        <v>73</v>
      </c>
      <c r="G10" s="34" t="s">
        <v>74</v>
      </c>
      <c r="H10" s="34" t="s">
        <v>75</v>
      </c>
      <c r="I10" s="34" t="s">
        <v>76</v>
      </c>
      <c r="J10" s="14" t="s">
        <v>77</v>
      </c>
      <c r="K10" s="34" t="s">
        <v>78</v>
      </c>
      <c r="L10" s="36">
        <v>570000</v>
      </c>
      <c r="M10" s="36">
        <v>340000</v>
      </c>
      <c r="N10" s="36"/>
      <c r="O10" s="36">
        <f t="shared" si="0"/>
        <v>230000</v>
      </c>
      <c r="P10" s="37">
        <f t="shared" si="1"/>
        <v>0.40350877192982454</v>
      </c>
    </row>
    <row r="11" spans="1:16">
      <c r="A11" s="33">
        <v>7</v>
      </c>
      <c r="B11" s="50" t="s">
        <v>784</v>
      </c>
      <c r="C11" s="51" t="s">
        <v>785</v>
      </c>
      <c r="D11" s="34" t="s">
        <v>43</v>
      </c>
      <c r="E11" s="34" t="s">
        <v>83</v>
      </c>
      <c r="F11" s="34" t="s">
        <v>84</v>
      </c>
      <c r="G11" s="34" t="s">
        <v>85</v>
      </c>
      <c r="H11" s="34" t="s">
        <v>86</v>
      </c>
      <c r="I11" s="34" t="s">
        <v>87</v>
      </c>
      <c r="J11" s="14" t="s">
        <v>91</v>
      </c>
      <c r="K11" s="34" t="s">
        <v>88</v>
      </c>
      <c r="L11" s="36">
        <v>560000</v>
      </c>
      <c r="M11" s="36">
        <v>500000</v>
      </c>
      <c r="N11" s="36"/>
      <c r="O11" s="36">
        <f t="shared" si="0"/>
        <v>60000</v>
      </c>
      <c r="P11" s="37">
        <f t="shared" si="1"/>
        <v>0.10714285714285714</v>
      </c>
    </row>
    <row r="12" spans="1:16">
      <c r="A12" s="33">
        <v>8</v>
      </c>
      <c r="B12" s="50" t="s">
        <v>784</v>
      </c>
      <c r="C12" s="51" t="s">
        <v>785</v>
      </c>
      <c r="D12" s="34"/>
      <c r="E12" s="34"/>
      <c r="F12" s="34"/>
      <c r="G12" s="34"/>
      <c r="H12" s="34" t="s">
        <v>89</v>
      </c>
      <c r="I12" s="34" t="s">
        <v>90</v>
      </c>
      <c r="J12" s="14" t="s">
        <v>92</v>
      </c>
      <c r="K12" s="34"/>
      <c r="L12" s="36">
        <v>0</v>
      </c>
      <c r="M12" s="36">
        <v>30000</v>
      </c>
      <c r="N12" s="36"/>
      <c r="O12" s="36">
        <f t="shared" si="0"/>
        <v>-30000</v>
      </c>
      <c r="P12" s="37">
        <f t="shared" si="1"/>
        <v>0</v>
      </c>
    </row>
    <row r="13" spans="1:16">
      <c r="A13" s="33">
        <v>9</v>
      </c>
      <c r="B13" s="50" t="s">
        <v>786</v>
      </c>
      <c r="C13" s="51" t="s">
        <v>777</v>
      </c>
      <c r="D13" s="34" t="s">
        <v>319</v>
      </c>
      <c r="E13" s="34"/>
      <c r="F13" s="34" t="s">
        <v>101</v>
      </c>
      <c r="G13" s="34" t="s">
        <v>102</v>
      </c>
      <c r="H13" s="34" t="s">
        <v>103</v>
      </c>
      <c r="I13" s="34" t="s">
        <v>104</v>
      </c>
      <c r="J13" s="47" t="s">
        <v>105</v>
      </c>
      <c r="K13" s="34" t="s">
        <v>106</v>
      </c>
      <c r="L13" s="36">
        <v>680000</v>
      </c>
      <c r="M13" s="36">
        <v>640000</v>
      </c>
      <c r="N13" s="36"/>
      <c r="O13" s="36">
        <f t="shared" si="0"/>
        <v>40000</v>
      </c>
      <c r="P13" s="37">
        <f t="shared" si="1"/>
        <v>5.8823529411764705E-2</v>
      </c>
    </row>
    <row r="14" spans="1:16">
      <c r="A14" s="33">
        <v>10</v>
      </c>
      <c r="B14" s="50" t="s">
        <v>787</v>
      </c>
      <c r="C14" s="51" t="s">
        <v>777</v>
      </c>
      <c r="D14" s="34" t="s">
        <v>122</v>
      </c>
      <c r="E14" s="34" t="s">
        <v>123</v>
      </c>
      <c r="F14" s="34" t="s">
        <v>81</v>
      </c>
      <c r="G14" s="34" t="s">
        <v>82</v>
      </c>
      <c r="H14" s="34" t="s">
        <v>124</v>
      </c>
      <c r="I14" s="34" t="s">
        <v>125</v>
      </c>
      <c r="J14" s="47" t="s">
        <v>126</v>
      </c>
      <c r="K14" s="34" t="s">
        <v>127</v>
      </c>
      <c r="L14" s="36">
        <v>640000</v>
      </c>
      <c r="M14" s="36">
        <v>620000</v>
      </c>
      <c r="N14" s="36"/>
      <c r="O14" s="36">
        <f t="shared" si="0"/>
        <v>20000</v>
      </c>
      <c r="P14" s="37">
        <f t="shared" si="1"/>
        <v>3.125E-2</v>
      </c>
    </row>
    <row r="15" spans="1:16">
      <c r="A15" s="33">
        <v>11</v>
      </c>
      <c r="B15" s="50" t="s">
        <v>788</v>
      </c>
      <c r="C15" s="51" t="s">
        <v>777</v>
      </c>
      <c r="D15" s="34" t="s">
        <v>129</v>
      </c>
      <c r="E15" s="34"/>
      <c r="F15" s="34" t="s">
        <v>129</v>
      </c>
      <c r="G15" s="34" t="s">
        <v>130</v>
      </c>
      <c r="H15" s="34" t="s">
        <v>131</v>
      </c>
      <c r="I15" s="34" t="s">
        <v>132</v>
      </c>
      <c r="J15" s="47" t="s">
        <v>133</v>
      </c>
      <c r="K15" s="34" t="s">
        <v>134</v>
      </c>
      <c r="L15" s="36">
        <v>450000</v>
      </c>
      <c r="M15" s="36">
        <v>300000</v>
      </c>
      <c r="N15" s="36"/>
      <c r="O15" s="36">
        <f t="shared" si="0"/>
        <v>150000</v>
      </c>
      <c r="P15" s="37">
        <f t="shared" si="1"/>
        <v>0.33333333333333331</v>
      </c>
    </row>
    <row r="16" spans="1:16">
      <c r="A16" s="33">
        <v>12</v>
      </c>
      <c r="B16" s="50" t="s">
        <v>789</v>
      </c>
      <c r="C16" s="51" t="s">
        <v>777</v>
      </c>
      <c r="D16" s="10" t="s">
        <v>71</v>
      </c>
      <c r="E16" s="10"/>
      <c r="F16" s="10" t="s">
        <v>135</v>
      </c>
      <c r="G16" s="10" t="s">
        <v>142</v>
      </c>
      <c r="H16" s="10" t="s">
        <v>171</v>
      </c>
      <c r="I16" s="10" t="s">
        <v>138</v>
      </c>
      <c r="J16" s="14" t="s">
        <v>139</v>
      </c>
      <c r="K16" s="10" t="s">
        <v>140</v>
      </c>
      <c r="L16" s="11">
        <v>620000</v>
      </c>
      <c r="M16" s="11">
        <v>580000</v>
      </c>
      <c r="N16" s="11"/>
      <c r="O16" s="11">
        <f t="shared" si="0"/>
        <v>40000</v>
      </c>
      <c r="P16" s="12">
        <f t="shared" si="1"/>
        <v>6.4516129032258063E-2</v>
      </c>
    </row>
    <row r="17" spans="1:16">
      <c r="A17" s="33">
        <v>13</v>
      </c>
      <c r="B17" s="50" t="s">
        <v>790</v>
      </c>
      <c r="C17" s="51" t="s">
        <v>777</v>
      </c>
      <c r="D17" s="10" t="s">
        <v>115</v>
      </c>
      <c r="E17" s="10" t="s">
        <v>143</v>
      </c>
      <c r="F17" s="10" t="s">
        <v>144</v>
      </c>
      <c r="G17" s="10" t="s">
        <v>145</v>
      </c>
      <c r="H17" s="10" t="s">
        <v>16</v>
      </c>
      <c r="I17" s="10" t="s">
        <v>146</v>
      </c>
      <c r="J17" s="14" t="s">
        <v>147</v>
      </c>
      <c r="K17" s="10" t="s">
        <v>148</v>
      </c>
      <c r="L17" s="11">
        <v>600000</v>
      </c>
      <c r="M17" s="11">
        <v>540000</v>
      </c>
      <c r="N17" s="11"/>
      <c r="O17" s="11">
        <f t="shared" si="0"/>
        <v>60000</v>
      </c>
      <c r="P17" s="12">
        <f t="shared" si="1"/>
        <v>0.1</v>
      </c>
    </row>
    <row r="18" spans="1:16">
      <c r="A18" s="33">
        <v>14</v>
      </c>
      <c r="B18" s="50" t="s">
        <v>791</v>
      </c>
      <c r="C18" s="51" t="s">
        <v>777</v>
      </c>
      <c r="D18" s="10" t="s">
        <v>151</v>
      </c>
      <c r="E18" s="10" t="s">
        <v>151</v>
      </c>
      <c r="F18" s="10" t="s">
        <v>310</v>
      </c>
      <c r="G18" s="10" t="s">
        <v>311</v>
      </c>
      <c r="H18" s="10" t="s">
        <v>16</v>
      </c>
      <c r="I18" s="10" t="s">
        <v>154</v>
      </c>
      <c r="J18" s="47" t="s">
        <v>155</v>
      </c>
      <c r="K18" s="10" t="s">
        <v>156</v>
      </c>
      <c r="L18" s="11">
        <v>860000</v>
      </c>
      <c r="M18" s="11">
        <v>810000</v>
      </c>
      <c r="N18" s="11"/>
      <c r="O18" s="11">
        <f t="shared" si="0"/>
        <v>50000</v>
      </c>
      <c r="P18" s="12">
        <f t="shared" si="1"/>
        <v>5.8139534883720929E-2</v>
      </c>
    </row>
    <row r="19" spans="1:16">
      <c r="A19" s="33">
        <v>15</v>
      </c>
      <c r="B19" s="50" t="s">
        <v>792</v>
      </c>
      <c r="C19" s="51" t="s">
        <v>793</v>
      </c>
      <c r="D19" s="10" t="s">
        <v>157</v>
      </c>
      <c r="E19" s="10" t="s">
        <v>158</v>
      </c>
      <c r="F19" s="10" t="s">
        <v>159</v>
      </c>
      <c r="G19" s="10" t="s">
        <v>160</v>
      </c>
      <c r="H19" s="10" t="s">
        <v>16</v>
      </c>
      <c r="I19" s="10" t="s">
        <v>161</v>
      </c>
      <c r="J19" s="47" t="s">
        <v>162</v>
      </c>
      <c r="K19" s="10" t="s">
        <v>163</v>
      </c>
      <c r="L19" s="11">
        <v>480000</v>
      </c>
      <c r="M19" s="11">
        <v>400000</v>
      </c>
      <c r="N19" s="11"/>
      <c r="O19" s="11">
        <f t="shared" si="0"/>
        <v>80000</v>
      </c>
      <c r="P19" s="12">
        <f t="shared" si="1"/>
        <v>0.16666666666666666</v>
      </c>
    </row>
    <row r="20" spans="1:16">
      <c r="A20" s="33">
        <v>16</v>
      </c>
      <c r="B20" s="50" t="s">
        <v>792</v>
      </c>
      <c r="C20" s="51" t="s">
        <v>793</v>
      </c>
      <c r="D20" s="10"/>
      <c r="E20" s="10"/>
      <c r="F20" s="10"/>
      <c r="G20" s="10"/>
      <c r="H20" s="10" t="s">
        <v>62</v>
      </c>
      <c r="I20" s="10"/>
      <c r="J20" s="14" t="s">
        <v>164</v>
      </c>
      <c r="K20" s="10"/>
      <c r="L20" s="11">
        <v>0</v>
      </c>
      <c r="M20" s="11">
        <v>30000</v>
      </c>
      <c r="N20" s="11"/>
      <c r="O20" s="11">
        <f t="shared" si="0"/>
        <v>-30000</v>
      </c>
      <c r="P20" s="12">
        <f t="shared" si="1"/>
        <v>0</v>
      </c>
    </row>
    <row r="21" spans="1:16">
      <c r="A21" s="33">
        <v>17</v>
      </c>
      <c r="B21" s="50" t="s">
        <v>794</v>
      </c>
      <c r="C21" s="51" t="s">
        <v>777</v>
      </c>
      <c r="D21" s="10" t="s">
        <v>128</v>
      </c>
      <c r="E21" s="10"/>
      <c r="F21" s="10" t="s">
        <v>167</v>
      </c>
      <c r="G21" s="10" t="s">
        <v>168</v>
      </c>
      <c r="H21" s="10" t="s">
        <v>165</v>
      </c>
      <c r="I21" s="10" t="s">
        <v>166</v>
      </c>
      <c r="J21" s="14" t="s">
        <v>169</v>
      </c>
      <c r="K21" s="10" t="s">
        <v>170</v>
      </c>
      <c r="L21" s="11">
        <v>495000</v>
      </c>
      <c r="M21" s="11">
        <v>465000</v>
      </c>
      <c r="N21" s="11"/>
      <c r="O21" s="11">
        <f t="shared" si="0"/>
        <v>30000</v>
      </c>
      <c r="P21" s="12">
        <f t="shared" si="1"/>
        <v>6.0606060606060608E-2</v>
      </c>
    </row>
    <row r="22" spans="1:16">
      <c r="A22" s="33">
        <v>18</v>
      </c>
      <c r="B22" s="50" t="s">
        <v>795</v>
      </c>
      <c r="C22" s="51" t="s">
        <v>777</v>
      </c>
      <c r="D22" s="10" t="s">
        <v>17</v>
      </c>
      <c r="E22" s="10"/>
      <c r="F22" s="10" t="s">
        <v>175</v>
      </c>
      <c r="G22" s="10" t="s">
        <v>176</v>
      </c>
      <c r="H22" s="10" t="s">
        <v>52</v>
      </c>
      <c r="I22" s="10" t="s">
        <v>120</v>
      </c>
      <c r="J22" s="14" t="s">
        <v>177</v>
      </c>
      <c r="K22" s="34" t="s">
        <v>55</v>
      </c>
      <c r="L22" s="11">
        <v>600000</v>
      </c>
      <c r="M22" s="11">
        <v>570000</v>
      </c>
      <c r="N22" s="11"/>
      <c r="O22" s="11">
        <f t="shared" si="0"/>
        <v>30000</v>
      </c>
      <c r="P22" s="12">
        <f t="shared" si="1"/>
        <v>0.05</v>
      </c>
    </row>
    <row r="23" spans="1:16">
      <c r="A23" s="33">
        <v>19</v>
      </c>
      <c r="B23" s="50" t="s">
        <v>796</v>
      </c>
      <c r="C23" s="51" t="s">
        <v>777</v>
      </c>
      <c r="D23" s="10" t="s">
        <v>178</v>
      </c>
      <c r="E23" s="10" t="s">
        <v>179</v>
      </c>
      <c r="F23" s="10" t="s">
        <v>180</v>
      </c>
      <c r="G23" s="10" t="s">
        <v>116</v>
      </c>
      <c r="H23" s="10" t="s">
        <v>16</v>
      </c>
      <c r="I23" s="10" t="s">
        <v>70</v>
      </c>
      <c r="J23" s="14" t="s">
        <v>181</v>
      </c>
      <c r="K23" s="10" t="s">
        <v>23</v>
      </c>
      <c r="L23" s="11">
        <v>610000</v>
      </c>
      <c r="M23" s="11">
        <v>520000</v>
      </c>
      <c r="N23" s="11"/>
      <c r="O23" s="11">
        <f t="shared" si="0"/>
        <v>90000</v>
      </c>
      <c r="P23" s="12">
        <f t="shared" si="1"/>
        <v>0.14754098360655737</v>
      </c>
    </row>
    <row r="24" spans="1:16">
      <c r="A24" s="33">
        <v>20</v>
      </c>
      <c r="B24" s="50" t="s">
        <v>797</v>
      </c>
      <c r="C24" s="51" t="s">
        <v>785</v>
      </c>
      <c r="D24" s="10" t="s">
        <v>149</v>
      </c>
      <c r="E24" s="10" t="s">
        <v>173</v>
      </c>
      <c r="F24" s="10" t="s">
        <v>182</v>
      </c>
      <c r="G24" s="10" t="s">
        <v>183</v>
      </c>
      <c r="H24" s="10" t="s">
        <v>16</v>
      </c>
      <c r="I24" s="10" t="s">
        <v>184</v>
      </c>
      <c r="J24" s="14" t="s">
        <v>185</v>
      </c>
      <c r="K24" s="10" t="s">
        <v>186</v>
      </c>
      <c r="L24" s="11">
        <v>550000</v>
      </c>
      <c r="M24" s="11">
        <v>450000</v>
      </c>
      <c r="N24" s="11"/>
      <c r="O24" s="11">
        <f t="shared" si="0"/>
        <v>100000</v>
      </c>
      <c r="P24" s="12">
        <f t="shared" si="1"/>
        <v>0.18181818181818182</v>
      </c>
    </row>
    <row r="25" spans="1:16">
      <c r="A25" s="33">
        <v>21</v>
      </c>
      <c r="B25" s="50" t="s">
        <v>797</v>
      </c>
      <c r="C25" s="51" t="s">
        <v>785</v>
      </c>
      <c r="D25" s="10"/>
      <c r="E25" s="10"/>
      <c r="F25" s="10"/>
      <c r="G25" s="10"/>
      <c r="H25" s="10" t="s">
        <v>62</v>
      </c>
      <c r="I25" s="10"/>
      <c r="J25" s="14" t="s">
        <v>187</v>
      </c>
      <c r="K25" s="10"/>
      <c r="L25" s="11">
        <v>0</v>
      </c>
      <c r="M25" s="11">
        <v>50000</v>
      </c>
      <c r="N25" s="11"/>
      <c r="O25" s="11">
        <f t="shared" si="0"/>
        <v>-50000</v>
      </c>
      <c r="P25" s="12">
        <f t="shared" si="1"/>
        <v>0</v>
      </c>
    </row>
    <row r="26" spans="1:16">
      <c r="A26" s="33">
        <v>22</v>
      </c>
      <c r="B26" s="50" t="s">
        <v>797</v>
      </c>
      <c r="C26" s="51" t="s">
        <v>777</v>
      </c>
      <c r="D26" s="10" t="s">
        <v>190</v>
      </c>
      <c r="E26" s="10"/>
      <c r="F26" s="10" t="s">
        <v>101</v>
      </c>
      <c r="G26" s="10" t="s">
        <v>191</v>
      </c>
      <c r="H26" s="10" t="s">
        <v>192</v>
      </c>
      <c r="I26" s="10" t="s">
        <v>193</v>
      </c>
      <c r="J26" s="14" t="s">
        <v>194</v>
      </c>
      <c r="K26" s="10" t="s">
        <v>195</v>
      </c>
      <c r="L26" s="11">
        <v>610000</v>
      </c>
      <c r="M26" s="11">
        <v>590000</v>
      </c>
      <c r="N26" s="11"/>
      <c r="O26" s="11">
        <f t="shared" si="0"/>
        <v>20000</v>
      </c>
      <c r="P26" s="12">
        <f t="shared" si="1"/>
        <v>3.2786885245901641E-2</v>
      </c>
    </row>
    <row r="27" spans="1:16">
      <c r="A27" s="33">
        <v>23</v>
      </c>
      <c r="B27" s="50" t="s">
        <v>798</v>
      </c>
      <c r="C27" s="51" t="s">
        <v>777</v>
      </c>
      <c r="D27" s="10" t="s">
        <v>206</v>
      </c>
      <c r="E27" s="10"/>
      <c r="F27" s="10" t="s">
        <v>196</v>
      </c>
      <c r="G27" s="10" t="s">
        <v>197</v>
      </c>
      <c r="H27" s="10" t="s">
        <v>16</v>
      </c>
      <c r="I27" s="10" t="s">
        <v>22</v>
      </c>
      <c r="J27" s="14" t="s">
        <v>198</v>
      </c>
      <c r="K27" s="10" t="s">
        <v>199</v>
      </c>
      <c r="L27" s="11">
        <v>380000</v>
      </c>
      <c r="M27" s="11">
        <v>230000</v>
      </c>
      <c r="N27" s="11"/>
      <c r="O27" s="11">
        <f t="shared" si="0"/>
        <v>150000</v>
      </c>
      <c r="P27" s="12">
        <f t="shared" si="1"/>
        <v>0.39473684210526316</v>
      </c>
    </row>
    <row r="28" spans="1:16">
      <c r="A28" s="33">
        <v>24</v>
      </c>
      <c r="B28" s="50" t="s">
        <v>798</v>
      </c>
      <c r="C28" s="51" t="s">
        <v>785</v>
      </c>
      <c r="D28" s="10" t="s">
        <v>200</v>
      </c>
      <c r="E28" s="10"/>
      <c r="F28" s="10" t="s">
        <v>188</v>
      </c>
      <c r="G28" s="10" t="s">
        <v>201</v>
      </c>
      <c r="H28" s="10" t="s">
        <v>16</v>
      </c>
      <c r="I28" s="10" t="s">
        <v>202</v>
      </c>
      <c r="J28" s="14" t="s">
        <v>203</v>
      </c>
      <c r="K28" s="10" t="s">
        <v>204</v>
      </c>
      <c r="L28" s="11">
        <v>700000</v>
      </c>
      <c r="M28" s="11">
        <v>610000</v>
      </c>
      <c r="N28" s="11"/>
      <c r="O28" s="11">
        <f t="shared" si="0"/>
        <v>90000</v>
      </c>
      <c r="P28" s="12">
        <f t="shared" si="1"/>
        <v>0.12857142857142856</v>
      </c>
    </row>
    <row r="29" spans="1:16">
      <c r="A29" s="33">
        <v>25</v>
      </c>
      <c r="B29" s="50" t="s">
        <v>798</v>
      </c>
      <c r="C29" s="51" t="s">
        <v>785</v>
      </c>
      <c r="D29" s="10"/>
      <c r="E29" s="10"/>
      <c r="F29" s="10"/>
      <c r="G29" s="10"/>
      <c r="H29" s="10" t="s">
        <v>62</v>
      </c>
      <c r="I29" s="10"/>
      <c r="J29" s="14" t="s">
        <v>205</v>
      </c>
      <c r="K29" s="10"/>
      <c r="L29" s="11">
        <v>0</v>
      </c>
      <c r="M29" s="11">
        <v>30000</v>
      </c>
      <c r="N29" s="11"/>
      <c r="O29" s="11">
        <f t="shared" si="0"/>
        <v>-30000</v>
      </c>
      <c r="P29" s="12">
        <f t="shared" si="1"/>
        <v>0</v>
      </c>
    </row>
    <row r="30" spans="1:16">
      <c r="A30" s="33">
        <v>26</v>
      </c>
      <c r="B30" s="50" t="s">
        <v>799</v>
      </c>
      <c r="C30" s="51" t="s">
        <v>777</v>
      </c>
      <c r="D30" s="10" t="s">
        <v>209</v>
      </c>
      <c r="E30" s="10"/>
      <c r="F30" s="10" t="s">
        <v>210</v>
      </c>
      <c r="G30" s="10" t="s">
        <v>211</v>
      </c>
      <c r="H30" s="10" t="s">
        <v>165</v>
      </c>
      <c r="I30" s="10" t="s">
        <v>212</v>
      </c>
      <c r="J30" s="14" t="s">
        <v>213</v>
      </c>
      <c r="K30" s="10" t="s">
        <v>214</v>
      </c>
      <c r="L30" s="11">
        <v>620000</v>
      </c>
      <c r="M30" s="11">
        <v>600000</v>
      </c>
      <c r="N30" s="11"/>
      <c r="O30" s="11">
        <f t="shared" si="0"/>
        <v>20000</v>
      </c>
      <c r="P30" s="12">
        <f t="shared" si="1"/>
        <v>3.2258064516129031E-2</v>
      </c>
    </row>
    <row r="31" spans="1:16">
      <c r="A31" s="33">
        <v>27</v>
      </c>
      <c r="B31" s="50" t="s">
        <v>800</v>
      </c>
      <c r="C31" s="51" t="s">
        <v>785</v>
      </c>
      <c r="D31" s="10" t="s">
        <v>215</v>
      </c>
      <c r="E31" s="10"/>
      <c r="F31" s="10" t="s">
        <v>216</v>
      </c>
      <c r="G31" s="10" t="s">
        <v>217</v>
      </c>
      <c r="H31" s="10" t="s">
        <v>218</v>
      </c>
      <c r="I31" s="10" t="s">
        <v>219</v>
      </c>
      <c r="J31" s="14" t="s">
        <v>220</v>
      </c>
      <c r="K31" s="10" t="s">
        <v>221</v>
      </c>
      <c r="L31" s="11">
        <v>590000</v>
      </c>
      <c r="M31" s="11">
        <v>550000</v>
      </c>
      <c r="N31" s="11"/>
      <c r="O31" s="11">
        <f t="shared" si="0"/>
        <v>40000</v>
      </c>
      <c r="P31" s="12">
        <f t="shared" si="1"/>
        <v>6.7796610169491525E-2</v>
      </c>
    </row>
    <row r="32" spans="1:16">
      <c r="A32" s="33">
        <v>28</v>
      </c>
      <c r="B32" s="50" t="s">
        <v>801</v>
      </c>
      <c r="C32" s="51" t="s">
        <v>777</v>
      </c>
      <c r="D32" s="10" t="s">
        <v>225</v>
      </c>
      <c r="E32" s="10"/>
      <c r="F32" s="10" t="s">
        <v>226</v>
      </c>
      <c r="G32" s="10" t="s">
        <v>247</v>
      </c>
      <c r="H32" s="10" t="s">
        <v>16</v>
      </c>
      <c r="I32" s="10" t="s">
        <v>228</v>
      </c>
      <c r="J32" s="14" t="s">
        <v>229</v>
      </c>
      <c r="K32" s="10" t="s">
        <v>230</v>
      </c>
      <c r="L32" s="11">
        <v>570000</v>
      </c>
      <c r="M32" s="11">
        <v>310000</v>
      </c>
      <c r="N32" s="11"/>
      <c r="O32" s="11">
        <f t="shared" si="0"/>
        <v>260000</v>
      </c>
      <c r="P32" s="12">
        <f t="shared" si="1"/>
        <v>0.45614035087719296</v>
      </c>
    </row>
    <row r="33" spans="1:16">
      <c r="A33" s="33">
        <v>29</v>
      </c>
      <c r="B33" s="50" t="s">
        <v>802</v>
      </c>
      <c r="C33" s="51" t="s">
        <v>777</v>
      </c>
      <c r="D33" s="10" t="s">
        <v>232</v>
      </c>
      <c r="E33" s="10"/>
      <c r="F33" s="10" t="s">
        <v>135</v>
      </c>
      <c r="G33" s="10" t="s">
        <v>233</v>
      </c>
      <c r="H33" s="10" t="s">
        <v>16</v>
      </c>
      <c r="I33" s="10" t="s">
        <v>234</v>
      </c>
      <c r="J33" s="14" t="s">
        <v>235</v>
      </c>
      <c r="K33" s="10" t="s">
        <v>236</v>
      </c>
      <c r="L33" s="11">
        <v>530000</v>
      </c>
      <c r="M33" s="11">
        <v>310000</v>
      </c>
      <c r="N33" s="11"/>
      <c r="O33" s="11">
        <f t="shared" si="0"/>
        <v>220000</v>
      </c>
      <c r="P33" s="12">
        <f t="shared" si="1"/>
        <v>0.41509433962264153</v>
      </c>
    </row>
    <row r="34" spans="1:16">
      <c r="A34" s="33">
        <v>30</v>
      </c>
      <c r="B34" s="50" t="s">
        <v>803</v>
      </c>
      <c r="C34" s="51" t="s">
        <v>777</v>
      </c>
      <c r="D34" s="10" t="s">
        <v>238</v>
      </c>
      <c r="E34" s="10"/>
      <c r="F34" s="10" t="s">
        <v>189</v>
      </c>
      <c r="G34" s="10" t="s">
        <v>239</v>
      </c>
      <c r="H34" s="10" t="s">
        <v>62</v>
      </c>
      <c r="I34" s="10" t="s">
        <v>240</v>
      </c>
      <c r="J34" s="14" t="s">
        <v>241</v>
      </c>
      <c r="K34" s="10" t="s">
        <v>242</v>
      </c>
      <c r="L34" s="11">
        <v>730000</v>
      </c>
      <c r="M34" s="11">
        <v>700000</v>
      </c>
      <c r="N34" s="11"/>
      <c r="O34" s="11">
        <f t="shared" si="0"/>
        <v>30000</v>
      </c>
      <c r="P34" s="12">
        <f t="shared" si="1"/>
        <v>4.1095890410958902E-2</v>
      </c>
    </row>
    <row r="35" spans="1:16">
      <c r="A35" s="33">
        <v>31</v>
      </c>
      <c r="B35" s="50" t="s">
        <v>804</v>
      </c>
      <c r="C35" s="51" t="s">
        <v>777</v>
      </c>
      <c r="D35" s="10"/>
      <c r="E35" s="10"/>
      <c r="F35" s="10" t="s">
        <v>243</v>
      </c>
      <c r="G35" s="10" t="s">
        <v>244</v>
      </c>
      <c r="H35" s="10" t="s">
        <v>207</v>
      </c>
      <c r="I35" s="10" t="s">
        <v>112</v>
      </c>
      <c r="J35" s="14" t="s">
        <v>245</v>
      </c>
      <c r="K35" s="10" t="s">
        <v>246</v>
      </c>
      <c r="L35" s="11">
        <v>560000</v>
      </c>
      <c r="M35" s="11">
        <v>530000</v>
      </c>
      <c r="N35" s="11"/>
      <c r="O35" s="11">
        <f t="shared" si="0"/>
        <v>30000</v>
      </c>
      <c r="P35" s="12">
        <f t="shared" si="1"/>
        <v>5.3571428571428568E-2</v>
      </c>
    </row>
    <row r="36" spans="1:16">
      <c r="A36" s="33">
        <v>32</v>
      </c>
      <c r="B36" s="50" t="s">
        <v>805</v>
      </c>
      <c r="C36" s="51" t="s">
        <v>777</v>
      </c>
      <c r="D36" s="10" t="s">
        <v>248</v>
      </c>
      <c r="E36" s="10"/>
      <c r="F36" s="10" t="s">
        <v>249</v>
      </c>
      <c r="G36" s="10" t="s">
        <v>250</v>
      </c>
      <c r="H36" s="10" t="s">
        <v>141</v>
      </c>
      <c r="I36" s="10" t="s">
        <v>251</v>
      </c>
      <c r="J36" s="14" t="s">
        <v>252</v>
      </c>
      <c r="K36" s="10" t="s">
        <v>253</v>
      </c>
      <c r="L36" s="11">
        <v>550000</v>
      </c>
      <c r="M36" s="11">
        <v>510000</v>
      </c>
      <c r="N36" s="11"/>
      <c r="O36" s="11">
        <f t="shared" si="0"/>
        <v>40000</v>
      </c>
      <c r="P36" s="12">
        <f t="shared" si="1"/>
        <v>7.2727272727272724E-2</v>
      </c>
    </row>
    <row r="37" spans="1:16">
      <c r="A37" s="33">
        <v>33</v>
      </c>
      <c r="B37" s="50" t="s">
        <v>805</v>
      </c>
      <c r="C37" s="51" t="s">
        <v>785</v>
      </c>
      <c r="D37" s="10" t="s">
        <v>254</v>
      </c>
      <c r="E37" s="10" t="s">
        <v>255</v>
      </c>
      <c r="F37" s="10" t="s">
        <v>256</v>
      </c>
      <c r="G37" s="10" t="s">
        <v>257</v>
      </c>
      <c r="H37" s="10" t="s">
        <v>258</v>
      </c>
      <c r="I37" s="14" t="s">
        <v>259</v>
      </c>
      <c r="J37" s="14" t="s">
        <v>260</v>
      </c>
      <c r="K37" s="10" t="s">
        <v>261</v>
      </c>
      <c r="L37" s="11">
        <v>650000</v>
      </c>
      <c r="M37" s="11">
        <v>620000</v>
      </c>
      <c r="N37" s="11"/>
      <c r="O37" s="11">
        <f t="shared" ref="O37:O68" si="2">L37-M37-N37</f>
        <v>30000</v>
      </c>
      <c r="P37" s="12">
        <f t="shared" ref="P37:P68" si="3">IF(VALUE(L37)&lt;=0,0,O37/L37)</f>
        <v>4.6153846153846156E-2</v>
      </c>
    </row>
    <row r="38" spans="1:16">
      <c r="A38" s="33">
        <v>34</v>
      </c>
      <c r="B38" s="50" t="s">
        <v>806</v>
      </c>
      <c r="C38" s="51" t="s">
        <v>807</v>
      </c>
      <c r="D38" s="10" t="s">
        <v>320</v>
      </c>
      <c r="E38" s="10"/>
      <c r="F38" s="10" t="s">
        <v>117</v>
      </c>
      <c r="G38" s="10" t="s">
        <v>263</v>
      </c>
      <c r="H38" s="10" t="s">
        <v>264</v>
      </c>
      <c r="I38" s="14" t="s">
        <v>265</v>
      </c>
      <c r="J38" s="14" t="s">
        <v>266</v>
      </c>
      <c r="K38" s="10" t="s">
        <v>119</v>
      </c>
      <c r="L38" s="11">
        <v>620000</v>
      </c>
      <c r="M38" s="11">
        <v>580000</v>
      </c>
      <c r="N38" s="11"/>
      <c r="O38" s="11">
        <f t="shared" si="2"/>
        <v>40000</v>
      </c>
      <c r="P38" s="12">
        <f t="shared" si="3"/>
        <v>6.4516129032258063E-2</v>
      </c>
    </row>
    <row r="39" spans="1:16">
      <c r="A39" s="33">
        <v>35</v>
      </c>
      <c r="B39" s="50" t="s">
        <v>808</v>
      </c>
      <c r="C39" s="51" t="s">
        <v>807</v>
      </c>
      <c r="D39" s="10" t="s">
        <v>320</v>
      </c>
      <c r="E39" s="10"/>
      <c r="F39" s="10" t="s">
        <v>117</v>
      </c>
      <c r="G39" s="10" t="s">
        <v>268</v>
      </c>
      <c r="H39" s="10" t="s">
        <v>269</v>
      </c>
      <c r="I39" s="10" t="s">
        <v>270</v>
      </c>
      <c r="J39" s="14" t="s">
        <v>271</v>
      </c>
      <c r="K39" s="10" t="s">
        <v>272</v>
      </c>
      <c r="L39" s="11">
        <v>580000</v>
      </c>
      <c r="M39" s="11">
        <v>540000</v>
      </c>
      <c r="N39" s="11"/>
      <c r="O39" s="11">
        <f t="shared" si="2"/>
        <v>40000</v>
      </c>
      <c r="P39" s="12">
        <f t="shared" si="3"/>
        <v>6.8965517241379309E-2</v>
      </c>
    </row>
    <row r="40" spans="1:16">
      <c r="A40" s="33">
        <v>36</v>
      </c>
      <c r="B40" s="50" t="s">
        <v>809</v>
      </c>
      <c r="C40" s="51" t="s">
        <v>777</v>
      </c>
      <c r="D40" s="10" t="s">
        <v>17</v>
      </c>
      <c r="E40" s="10"/>
      <c r="F40" s="10" t="s">
        <v>273</v>
      </c>
      <c r="G40" s="10" t="s">
        <v>231</v>
      </c>
      <c r="H40" s="10" t="s">
        <v>16</v>
      </c>
      <c r="I40" s="10" t="s">
        <v>274</v>
      </c>
      <c r="J40" s="14" t="s">
        <v>275</v>
      </c>
      <c r="K40" s="10" t="s">
        <v>276</v>
      </c>
      <c r="L40" s="11">
        <v>680000</v>
      </c>
      <c r="M40" s="11">
        <v>550000</v>
      </c>
      <c r="N40" s="11"/>
      <c r="O40" s="11">
        <f t="shared" si="2"/>
        <v>130000</v>
      </c>
      <c r="P40" s="12">
        <f t="shared" si="3"/>
        <v>0.19117647058823528</v>
      </c>
    </row>
    <row r="41" spans="1:16">
      <c r="A41" s="33">
        <v>37</v>
      </c>
      <c r="B41" s="50" t="s">
        <v>809</v>
      </c>
      <c r="C41" s="51" t="s">
        <v>777</v>
      </c>
      <c r="D41" s="10"/>
      <c r="E41" s="10"/>
      <c r="F41" s="10"/>
      <c r="G41" s="10"/>
      <c r="H41" s="10" t="s">
        <v>62</v>
      </c>
      <c r="I41" s="10"/>
      <c r="J41" s="14" t="s">
        <v>277</v>
      </c>
      <c r="K41" s="10"/>
      <c r="L41" s="11">
        <v>0</v>
      </c>
      <c r="M41" s="11">
        <v>50000</v>
      </c>
      <c r="N41" s="11"/>
      <c r="O41" s="11">
        <f t="shared" si="2"/>
        <v>-50000</v>
      </c>
      <c r="P41" s="12">
        <f t="shared" si="3"/>
        <v>0</v>
      </c>
    </row>
    <row r="42" spans="1:16">
      <c r="A42" s="33">
        <v>38</v>
      </c>
      <c r="B42" s="50" t="s">
        <v>810</v>
      </c>
      <c r="C42" s="51" t="s">
        <v>777</v>
      </c>
      <c r="D42" s="10" t="s">
        <v>223</v>
      </c>
      <c r="E42" s="10" t="s">
        <v>283</v>
      </c>
      <c r="F42" s="10" t="s">
        <v>284</v>
      </c>
      <c r="G42" s="10" t="s">
        <v>285</v>
      </c>
      <c r="H42" s="10" t="s">
        <v>286</v>
      </c>
      <c r="I42" s="10" t="s">
        <v>287</v>
      </c>
      <c r="J42" s="14" t="s">
        <v>288</v>
      </c>
      <c r="K42" s="10" t="s">
        <v>222</v>
      </c>
      <c r="L42" s="11">
        <v>360000</v>
      </c>
      <c r="M42" s="11">
        <v>320000</v>
      </c>
      <c r="N42" s="11"/>
      <c r="O42" s="11">
        <f t="shared" si="2"/>
        <v>40000</v>
      </c>
      <c r="P42" s="12">
        <f t="shared" si="3"/>
        <v>0.1111111111111111</v>
      </c>
    </row>
    <row r="43" spans="1:16">
      <c r="A43" s="33">
        <v>39</v>
      </c>
      <c r="B43" s="50" t="s">
        <v>811</v>
      </c>
      <c r="C43" s="51" t="s">
        <v>785</v>
      </c>
      <c r="D43" s="10" t="s">
        <v>289</v>
      </c>
      <c r="E43" s="10" t="s">
        <v>290</v>
      </c>
      <c r="F43" s="10" t="s">
        <v>291</v>
      </c>
      <c r="G43" s="10" t="s">
        <v>292</v>
      </c>
      <c r="H43" s="10" t="s">
        <v>293</v>
      </c>
      <c r="I43" s="10" t="s">
        <v>294</v>
      </c>
      <c r="J43" s="14" t="s">
        <v>295</v>
      </c>
      <c r="K43" s="10" t="s">
        <v>119</v>
      </c>
      <c r="L43" s="11">
        <v>625000</v>
      </c>
      <c r="M43" s="11">
        <v>580000</v>
      </c>
      <c r="N43" s="11"/>
      <c r="O43" s="11">
        <f t="shared" si="2"/>
        <v>45000</v>
      </c>
      <c r="P43" s="12">
        <f t="shared" si="3"/>
        <v>7.1999999999999995E-2</v>
      </c>
    </row>
    <row r="44" spans="1:16">
      <c r="A44" s="33">
        <v>40</v>
      </c>
      <c r="B44" s="50" t="s">
        <v>812</v>
      </c>
      <c r="C44" s="51" t="s">
        <v>777</v>
      </c>
      <c r="D44" s="10"/>
      <c r="E44" s="10"/>
      <c r="F44" s="10" t="s">
        <v>297</v>
      </c>
      <c r="G44" s="10" t="s">
        <v>298</v>
      </c>
      <c r="H44" s="10" t="s">
        <v>16</v>
      </c>
      <c r="I44" s="10" t="s">
        <v>299</v>
      </c>
      <c r="J44" s="14" t="s">
        <v>300</v>
      </c>
      <c r="K44" s="10" t="s">
        <v>301</v>
      </c>
      <c r="L44" s="11">
        <v>680000</v>
      </c>
      <c r="M44" s="11">
        <v>630000</v>
      </c>
      <c r="N44" s="11"/>
      <c r="O44" s="11">
        <f t="shared" si="2"/>
        <v>50000</v>
      </c>
      <c r="P44" s="12">
        <f t="shared" si="3"/>
        <v>7.3529411764705885E-2</v>
      </c>
    </row>
    <row r="45" spans="1:16">
      <c r="A45" s="33">
        <v>41</v>
      </c>
      <c r="B45" s="50" t="s">
        <v>813</v>
      </c>
      <c r="C45" s="51" t="s">
        <v>814</v>
      </c>
      <c r="D45" s="10" t="s">
        <v>302</v>
      </c>
      <c r="E45" s="10" t="s">
        <v>303</v>
      </c>
      <c r="F45" s="10" t="s">
        <v>304</v>
      </c>
      <c r="G45" s="10" t="s">
        <v>305</v>
      </c>
      <c r="H45" s="10" t="s">
        <v>16</v>
      </c>
      <c r="I45" s="10" t="s">
        <v>306</v>
      </c>
      <c r="J45" s="29" t="s">
        <v>307</v>
      </c>
      <c r="K45" s="10" t="s">
        <v>308</v>
      </c>
      <c r="L45" s="11">
        <v>720000</v>
      </c>
      <c r="M45" s="11">
        <v>670000</v>
      </c>
      <c r="N45" s="11"/>
      <c r="O45" s="11">
        <f t="shared" si="2"/>
        <v>50000</v>
      </c>
      <c r="P45" s="12">
        <f t="shared" si="3"/>
        <v>6.9444444444444448E-2</v>
      </c>
    </row>
    <row r="46" spans="1:16">
      <c r="A46" s="33">
        <v>42</v>
      </c>
      <c r="B46" s="50" t="s">
        <v>815</v>
      </c>
      <c r="C46" s="51" t="s">
        <v>785</v>
      </c>
      <c r="D46" s="10" t="s">
        <v>312</v>
      </c>
      <c r="E46" s="10"/>
      <c r="F46" s="10" t="s">
        <v>313</v>
      </c>
      <c r="G46" s="10" t="s">
        <v>314</v>
      </c>
      <c r="H46" s="10" t="s">
        <v>315</v>
      </c>
      <c r="I46" s="10" t="s">
        <v>166</v>
      </c>
      <c r="J46" s="14" t="s">
        <v>316</v>
      </c>
      <c r="K46" s="10" t="s">
        <v>119</v>
      </c>
      <c r="L46" s="11">
        <v>580000</v>
      </c>
      <c r="M46" s="11">
        <v>550000</v>
      </c>
      <c r="N46" s="11"/>
      <c r="O46" s="11">
        <f t="shared" si="2"/>
        <v>30000</v>
      </c>
      <c r="P46" s="12">
        <f t="shared" si="3"/>
        <v>5.1724137931034482E-2</v>
      </c>
    </row>
    <row r="47" spans="1:16">
      <c r="A47" s="33">
        <v>43</v>
      </c>
      <c r="B47" s="50" t="s">
        <v>816</v>
      </c>
      <c r="C47" s="51" t="s">
        <v>777</v>
      </c>
      <c r="D47" s="10" t="s">
        <v>322</v>
      </c>
      <c r="E47" s="10" t="s">
        <v>323</v>
      </c>
      <c r="F47" s="10" t="s">
        <v>321</v>
      </c>
      <c r="G47" s="10" t="s">
        <v>324</v>
      </c>
      <c r="H47" s="10" t="s">
        <v>325</v>
      </c>
      <c r="I47" s="10" t="s">
        <v>326</v>
      </c>
      <c r="J47" s="14" t="s">
        <v>327</v>
      </c>
      <c r="K47" s="10" t="s">
        <v>328</v>
      </c>
      <c r="L47" s="11">
        <v>350000</v>
      </c>
      <c r="M47" s="11">
        <v>320000</v>
      </c>
      <c r="N47" s="11"/>
      <c r="O47" s="11">
        <f t="shared" si="2"/>
        <v>30000</v>
      </c>
      <c r="P47" s="12">
        <f t="shared" si="3"/>
        <v>8.5714285714285715E-2</v>
      </c>
    </row>
    <row r="48" spans="1:16">
      <c r="A48" s="33">
        <v>44</v>
      </c>
      <c r="B48" s="50" t="s">
        <v>817</v>
      </c>
      <c r="C48" s="51" t="s">
        <v>785</v>
      </c>
      <c r="D48" s="10" t="s">
        <v>115</v>
      </c>
      <c r="E48" s="10" t="s">
        <v>331</v>
      </c>
      <c r="F48" s="10" t="s">
        <v>332</v>
      </c>
      <c r="G48" s="10" t="s">
        <v>333</v>
      </c>
      <c r="H48" s="10" t="s">
        <v>118</v>
      </c>
      <c r="I48" s="10" t="s">
        <v>334</v>
      </c>
      <c r="J48" s="14" t="s">
        <v>335</v>
      </c>
      <c r="K48" s="10" t="s">
        <v>336</v>
      </c>
      <c r="L48" s="11">
        <v>650000</v>
      </c>
      <c r="M48" s="11">
        <v>600000</v>
      </c>
      <c r="N48" s="11"/>
      <c r="O48" s="11">
        <f t="shared" si="2"/>
        <v>50000</v>
      </c>
      <c r="P48" s="12">
        <f t="shared" si="3"/>
        <v>7.6923076923076927E-2</v>
      </c>
    </row>
    <row r="49" spans="1:16">
      <c r="A49" s="33">
        <v>45</v>
      </c>
      <c r="B49" s="50" t="s">
        <v>818</v>
      </c>
      <c r="C49" s="51" t="s">
        <v>777</v>
      </c>
      <c r="D49" s="10" t="s">
        <v>337</v>
      </c>
      <c r="E49" s="10" t="s">
        <v>338</v>
      </c>
      <c r="F49" s="10" t="s">
        <v>339</v>
      </c>
      <c r="G49" s="10" t="s">
        <v>340</v>
      </c>
      <c r="H49" s="10" t="s">
        <v>341</v>
      </c>
      <c r="I49" s="10" t="s">
        <v>342</v>
      </c>
      <c r="J49" s="14" t="s">
        <v>343</v>
      </c>
      <c r="K49" s="10" t="s">
        <v>237</v>
      </c>
      <c r="L49" s="11">
        <v>350000</v>
      </c>
      <c r="M49" s="11">
        <v>320000</v>
      </c>
      <c r="N49" s="11"/>
      <c r="O49" s="11">
        <f t="shared" si="2"/>
        <v>30000</v>
      </c>
      <c r="P49" s="12">
        <f t="shared" si="3"/>
        <v>8.5714285714285715E-2</v>
      </c>
    </row>
    <row r="50" spans="1:16">
      <c r="A50" s="33">
        <v>46</v>
      </c>
      <c r="B50" s="50" t="s">
        <v>819</v>
      </c>
      <c r="C50" s="51" t="s">
        <v>782</v>
      </c>
      <c r="D50" s="10" t="s">
        <v>345</v>
      </c>
      <c r="E50" s="10"/>
      <c r="F50" s="10" t="s">
        <v>346</v>
      </c>
      <c r="G50" s="10" t="s">
        <v>347</v>
      </c>
      <c r="H50" s="10" t="s">
        <v>16</v>
      </c>
      <c r="I50" s="10" t="s">
        <v>348</v>
      </c>
      <c r="J50" s="14" t="s">
        <v>349</v>
      </c>
      <c r="K50" s="10" t="s">
        <v>350</v>
      </c>
      <c r="L50" s="11">
        <v>710000</v>
      </c>
      <c r="M50" s="11">
        <v>610000</v>
      </c>
      <c r="N50" s="11"/>
      <c r="O50" s="11">
        <f t="shared" si="2"/>
        <v>100000</v>
      </c>
      <c r="P50" s="12">
        <f t="shared" si="3"/>
        <v>0.14084507042253522</v>
      </c>
    </row>
    <row r="51" spans="1:16">
      <c r="A51" s="33">
        <v>47</v>
      </c>
      <c r="B51" s="50" t="s">
        <v>819</v>
      </c>
      <c r="C51" s="51" t="s">
        <v>782</v>
      </c>
      <c r="D51" s="10"/>
      <c r="E51" s="10"/>
      <c r="F51" s="10"/>
      <c r="G51" s="10"/>
      <c r="H51" s="10" t="s">
        <v>62</v>
      </c>
      <c r="I51" s="10"/>
      <c r="J51" s="14" t="s">
        <v>351</v>
      </c>
      <c r="K51" s="10"/>
      <c r="L51" s="11">
        <v>0</v>
      </c>
      <c r="M51" s="11">
        <v>50000</v>
      </c>
      <c r="N51" s="11"/>
      <c r="O51" s="11">
        <f t="shared" si="2"/>
        <v>-50000</v>
      </c>
      <c r="P51" s="12">
        <f t="shared" si="3"/>
        <v>0</v>
      </c>
    </row>
    <row r="52" spans="1:16">
      <c r="A52" s="33">
        <v>48</v>
      </c>
      <c r="B52" s="50" t="s">
        <v>820</v>
      </c>
      <c r="C52" s="51" t="s">
        <v>777</v>
      </c>
      <c r="D52" s="10" t="s">
        <v>71</v>
      </c>
      <c r="E52" s="10"/>
      <c r="F52" s="10" t="s">
        <v>354</v>
      </c>
      <c r="G52" s="10" t="s">
        <v>355</v>
      </c>
      <c r="H52" s="10" t="s">
        <v>356</v>
      </c>
      <c r="I52" s="10" t="s">
        <v>357</v>
      </c>
      <c r="J52" s="14" t="s">
        <v>358</v>
      </c>
      <c r="K52" s="10" t="s">
        <v>359</v>
      </c>
      <c r="L52" s="11">
        <v>350000</v>
      </c>
      <c r="M52" s="11">
        <v>320000</v>
      </c>
      <c r="N52" s="11"/>
      <c r="O52" s="11">
        <f t="shared" si="2"/>
        <v>30000</v>
      </c>
      <c r="P52" s="12">
        <f t="shared" si="3"/>
        <v>8.5714285714285715E-2</v>
      </c>
    </row>
    <row r="53" spans="1:16">
      <c r="A53" s="33">
        <v>49</v>
      </c>
      <c r="B53" s="50" t="s">
        <v>821</v>
      </c>
      <c r="C53" s="51" t="s">
        <v>782</v>
      </c>
      <c r="D53" s="10" t="s">
        <v>209</v>
      </c>
      <c r="E53" s="10"/>
      <c r="F53" s="10" t="s">
        <v>360</v>
      </c>
      <c r="G53" s="10" t="s">
        <v>361</v>
      </c>
      <c r="H53" s="10" t="s">
        <v>362</v>
      </c>
      <c r="I53" s="10" t="s">
        <v>363</v>
      </c>
      <c r="J53" s="14" t="s">
        <v>364</v>
      </c>
      <c r="K53" s="10" t="s">
        <v>365</v>
      </c>
      <c r="L53" s="11">
        <v>350000</v>
      </c>
      <c r="M53" s="11">
        <v>320000</v>
      </c>
      <c r="N53" s="11"/>
      <c r="O53" s="11">
        <f t="shared" si="2"/>
        <v>30000</v>
      </c>
      <c r="P53" s="12">
        <f t="shared" si="3"/>
        <v>8.5714285714285715E-2</v>
      </c>
    </row>
    <row r="54" spans="1:16">
      <c r="A54" s="33">
        <v>50</v>
      </c>
      <c r="B54" s="50" t="s">
        <v>820</v>
      </c>
      <c r="C54" s="51" t="s">
        <v>785</v>
      </c>
      <c r="D54" s="10" t="s">
        <v>352</v>
      </c>
      <c r="E54" s="10" t="s">
        <v>224</v>
      </c>
      <c r="F54" s="10" t="s">
        <v>172</v>
      </c>
      <c r="G54" s="10" t="s">
        <v>370</v>
      </c>
      <c r="H54" s="10" t="s">
        <v>371</v>
      </c>
      <c r="I54" s="10" t="s">
        <v>372</v>
      </c>
      <c r="J54" s="14" t="s">
        <v>373</v>
      </c>
      <c r="K54" s="10" t="s">
        <v>374</v>
      </c>
      <c r="L54" s="11">
        <v>520000</v>
      </c>
      <c r="M54" s="11">
        <v>480000</v>
      </c>
      <c r="N54" s="11"/>
      <c r="O54" s="11">
        <f t="shared" si="2"/>
        <v>40000</v>
      </c>
      <c r="P54" s="12">
        <f t="shared" si="3"/>
        <v>7.6923076923076927E-2</v>
      </c>
    </row>
    <row r="55" spans="1:16">
      <c r="A55" s="33">
        <v>51</v>
      </c>
      <c r="B55" s="50" t="s">
        <v>822</v>
      </c>
      <c r="C55" s="51" t="s">
        <v>777</v>
      </c>
      <c r="D55" s="10" t="s">
        <v>71</v>
      </c>
      <c r="E55" s="10"/>
      <c r="F55" s="10" t="s">
        <v>376</v>
      </c>
      <c r="G55" s="10" t="s">
        <v>377</v>
      </c>
      <c r="H55" s="10" t="s">
        <v>371</v>
      </c>
      <c r="I55" s="10" t="s">
        <v>378</v>
      </c>
      <c r="J55" s="14" t="s">
        <v>379</v>
      </c>
      <c r="K55" s="10" t="s">
        <v>93</v>
      </c>
      <c r="L55" s="11">
        <v>600000</v>
      </c>
      <c r="M55" s="11">
        <v>550000</v>
      </c>
      <c r="N55" s="11"/>
      <c r="O55" s="11">
        <f t="shared" si="2"/>
        <v>50000</v>
      </c>
      <c r="P55" s="12">
        <f t="shared" si="3"/>
        <v>8.3333333333333329E-2</v>
      </c>
    </row>
    <row r="56" spans="1:16">
      <c r="A56" s="33">
        <v>52</v>
      </c>
      <c r="B56" s="50" t="s">
        <v>823</v>
      </c>
      <c r="C56" s="51" t="s">
        <v>777</v>
      </c>
      <c r="D56" s="10" t="s">
        <v>892</v>
      </c>
      <c r="E56" s="10" t="s">
        <v>892</v>
      </c>
      <c r="F56" s="10" t="s">
        <v>380</v>
      </c>
      <c r="G56" s="10" t="s">
        <v>381</v>
      </c>
      <c r="H56" s="10" t="s">
        <v>892</v>
      </c>
      <c r="I56" s="10" t="s">
        <v>892</v>
      </c>
      <c r="J56" s="14" t="s">
        <v>382</v>
      </c>
      <c r="K56" s="10"/>
      <c r="L56" s="11">
        <v>30000</v>
      </c>
      <c r="M56" s="11">
        <v>0</v>
      </c>
      <c r="N56" s="11"/>
      <c r="O56" s="11">
        <f t="shared" si="2"/>
        <v>30000</v>
      </c>
      <c r="P56" s="12">
        <f t="shared" si="3"/>
        <v>1</v>
      </c>
    </row>
    <row r="57" spans="1:16">
      <c r="A57" s="33">
        <v>53</v>
      </c>
      <c r="B57" s="50" t="s">
        <v>820</v>
      </c>
      <c r="C57" s="51" t="s">
        <v>777</v>
      </c>
      <c r="D57" s="10" t="s">
        <v>383</v>
      </c>
      <c r="E57" s="10"/>
      <c r="F57" s="10" t="s">
        <v>384</v>
      </c>
      <c r="G57" s="10" t="s">
        <v>385</v>
      </c>
      <c r="H57" s="10" t="s">
        <v>16</v>
      </c>
      <c r="I57" s="10" t="s">
        <v>386</v>
      </c>
      <c r="J57" s="14" t="s">
        <v>387</v>
      </c>
      <c r="K57" s="10" t="s">
        <v>388</v>
      </c>
      <c r="L57" s="11">
        <v>680000</v>
      </c>
      <c r="M57" s="11">
        <v>450000</v>
      </c>
      <c r="N57" s="11"/>
      <c r="O57" s="11">
        <f t="shared" si="2"/>
        <v>230000</v>
      </c>
      <c r="P57" s="12">
        <f t="shared" si="3"/>
        <v>0.33823529411764708</v>
      </c>
    </row>
    <row r="58" spans="1:16">
      <c r="A58" s="33">
        <v>54</v>
      </c>
      <c r="B58" s="50" t="s">
        <v>820</v>
      </c>
      <c r="C58" s="51" t="s">
        <v>777</v>
      </c>
      <c r="D58" s="10" t="s">
        <v>17</v>
      </c>
      <c r="E58" s="10"/>
      <c r="F58" s="10" t="s">
        <v>389</v>
      </c>
      <c r="G58" s="10" t="s">
        <v>390</v>
      </c>
      <c r="H58" s="10" t="s">
        <v>391</v>
      </c>
      <c r="I58" s="10" t="s">
        <v>392</v>
      </c>
      <c r="J58" s="14" t="s">
        <v>393</v>
      </c>
      <c r="K58" s="10" t="s">
        <v>394</v>
      </c>
      <c r="L58" s="11">
        <v>430000</v>
      </c>
      <c r="M58" s="11">
        <v>400000</v>
      </c>
      <c r="N58" s="11"/>
      <c r="O58" s="11">
        <f t="shared" si="2"/>
        <v>30000</v>
      </c>
      <c r="P58" s="12">
        <f t="shared" si="3"/>
        <v>6.9767441860465115E-2</v>
      </c>
    </row>
    <row r="59" spans="1:16">
      <c r="A59" s="33">
        <v>55</v>
      </c>
      <c r="B59" s="50" t="s">
        <v>824</v>
      </c>
      <c r="C59" s="51" t="s">
        <v>785</v>
      </c>
      <c r="D59" s="10" t="s">
        <v>401</v>
      </c>
      <c r="E59" s="10"/>
      <c r="F59" s="10" t="s">
        <v>402</v>
      </c>
      <c r="G59" s="10" t="s">
        <v>403</v>
      </c>
      <c r="H59" s="10" t="s">
        <v>404</v>
      </c>
      <c r="I59" s="10" t="s">
        <v>405</v>
      </c>
      <c r="J59" s="14" t="s">
        <v>406</v>
      </c>
      <c r="K59" s="10" t="s">
        <v>407</v>
      </c>
      <c r="L59" s="11">
        <v>610000</v>
      </c>
      <c r="M59" s="11">
        <v>580000</v>
      </c>
      <c r="N59" s="11"/>
      <c r="O59" s="11">
        <f t="shared" si="2"/>
        <v>30000</v>
      </c>
      <c r="P59" s="12">
        <f t="shared" si="3"/>
        <v>4.9180327868852458E-2</v>
      </c>
    </row>
    <row r="60" spans="1:16">
      <c r="A60" s="33">
        <v>56</v>
      </c>
      <c r="B60" s="50" t="s">
        <v>824</v>
      </c>
      <c r="C60" s="51" t="s">
        <v>785</v>
      </c>
      <c r="D60" s="10" t="s">
        <v>401</v>
      </c>
      <c r="E60" s="10"/>
      <c r="F60" s="10" t="s">
        <v>408</v>
      </c>
      <c r="G60" s="10" t="s">
        <v>409</v>
      </c>
      <c r="H60" s="10" t="s">
        <v>410</v>
      </c>
      <c r="I60" s="10" t="s">
        <v>411</v>
      </c>
      <c r="J60" s="14" t="s">
        <v>412</v>
      </c>
      <c r="K60" s="10" t="s">
        <v>119</v>
      </c>
      <c r="L60" s="11">
        <v>560000</v>
      </c>
      <c r="M60" s="11">
        <v>520000</v>
      </c>
      <c r="N60" s="11"/>
      <c r="O60" s="11">
        <f t="shared" si="2"/>
        <v>40000</v>
      </c>
      <c r="P60" s="12">
        <f t="shared" si="3"/>
        <v>7.1428571428571425E-2</v>
      </c>
    </row>
    <row r="61" spans="1:16">
      <c r="A61" s="33">
        <v>57</v>
      </c>
      <c r="B61" s="50" t="s">
        <v>825</v>
      </c>
      <c r="C61" s="51" t="s">
        <v>777</v>
      </c>
      <c r="D61" s="10" t="s">
        <v>413</v>
      </c>
      <c r="E61" s="10"/>
      <c r="F61" s="10" t="s">
        <v>414</v>
      </c>
      <c r="G61" s="10" t="s">
        <v>415</v>
      </c>
      <c r="H61" s="10" t="s">
        <v>416</v>
      </c>
      <c r="I61" s="10" t="s">
        <v>417</v>
      </c>
      <c r="J61" s="14" t="s">
        <v>418</v>
      </c>
      <c r="K61" s="10" t="s">
        <v>93</v>
      </c>
      <c r="L61" s="11">
        <v>650000</v>
      </c>
      <c r="M61" s="11">
        <v>610000</v>
      </c>
      <c r="N61" s="11"/>
      <c r="O61" s="11">
        <f t="shared" si="2"/>
        <v>40000</v>
      </c>
      <c r="P61" s="12">
        <f t="shared" si="3"/>
        <v>6.1538461538461542E-2</v>
      </c>
    </row>
    <row r="62" spans="1:16">
      <c r="A62" s="33">
        <v>58</v>
      </c>
      <c r="B62" s="50" t="s">
        <v>826</v>
      </c>
      <c r="C62" s="51" t="s">
        <v>777</v>
      </c>
      <c r="D62" s="10" t="s">
        <v>419</v>
      </c>
      <c r="E62" s="10" t="s">
        <v>323</v>
      </c>
      <c r="F62" s="10" t="s">
        <v>321</v>
      </c>
      <c r="G62" s="10" t="s">
        <v>324</v>
      </c>
      <c r="H62" s="10" t="s">
        <v>16</v>
      </c>
      <c r="I62" s="10" t="s">
        <v>22</v>
      </c>
      <c r="J62" s="14" t="s">
        <v>420</v>
      </c>
      <c r="K62" s="10" t="s">
        <v>421</v>
      </c>
      <c r="L62" s="11">
        <v>350000</v>
      </c>
      <c r="M62" s="11">
        <v>220000</v>
      </c>
      <c r="N62" s="11"/>
      <c r="O62" s="11">
        <f t="shared" si="2"/>
        <v>130000</v>
      </c>
      <c r="P62" s="12">
        <f t="shared" si="3"/>
        <v>0.37142857142857144</v>
      </c>
    </row>
    <row r="63" spans="1:16">
      <c r="A63" s="33">
        <v>59</v>
      </c>
      <c r="B63" s="50" t="s">
        <v>827</v>
      </c>
      <c r="C63" s="51" t="s">
        <v>777</v>
      </c>
      <c r="D63" s="10" t="s">
        <v>422</v>
      </c>
      <c r="E63" s="10" t="s">
        <v>423</v>
      </c>
      <c r="F63" s="10" t="s">
        <v>424</v>
      </c>
      <c r="G63" s="10" t="s">
        <v>425</v>
      </c>
      <c r="H63" s="10" t="s">
        <v>426</v>
      </c>
      <c r="I63" s="10" t="s">
        <v>427</v>
      </c>
      <c r="J63" s="14" t="s">
        <v>428</v>
      </c>
      <c r="K63" s="10" t="s">
        <v>429</v>
      </c>
      <c r="L63" s="11">
        <v>520000</v>
      </c>
      <c r="M63" s="11">
        <v>480000</v>
      </c>
      <c r="N63" s="11"/>
      <c r="O63" s="11">
        <f t="shared" si="2"/>
        <v>40000</v>
      </c>
      <c r="P63" s="12">
        <f t="shared" si="3"/>
        <v>7.6923076923076927E-2</v>
      </c>
    </row>
    <row r="64" spans="1:16">
      <c r="A64" s="33">
        <v>60</v>
      </c>
      <c r="B64" s="50" t="s">
        <v>828</v>
      </c>
      <c r="C64" s="51" t="s">
        <v>807</v>
      </c>
      <c r="D64" s="10" t="s">
        <v>432</v>
      </c>
      <c r="E64" s="10"/>
      <c r="F64" s="10" t="s">
        <v>117</v>
      </c>
      <c r="G64" s="10" t="s">
        <v>433</v>
      </c>
      <c r="H64" s="10" t="s">
        <v>434</v>
      </c>
      <c r="I64" s="10" t="s">
        <v>435</v>
      </c>
      <c r="J64" s="14" t="s">
        <v>436</v>
      </c>
      <c r="K64" s="10" t="s">
        <v>119</v>
      </c>
      <c r="L64" s="11">
        <v>630000</v>
      </c>
      <c r="M64" s="11">
        <v>600000</v>
      </c>
      <c r="N64" s="11"/>
      <c r="O64" s="11">
        <f t="shared" si="2"/>
        <v>30000</v>
      </c>
      <c r="P64" s="12">
        <f t="shared" si="3"/>
        <v>4.7619047619047616E-2</v>
      </c>
    </row>
    <row r="65" spans="1:16">
      <c r="A65" s="33">
        <v>61</v>
      </c>
      <c r="B65" s="50" t="s">
        <v>829</v>
      </c>
      <c r="C65" s="51" t="s">
        <v>777</v>
      </c>
      <c r="D65" s="10" t="s">
        <v>437</v>
      </c>
      <c r="E65" s="10" t="s">
        <v>224</v>
      </c>
      <c r="F65" s="10" t="s">
        <v>438</v>
      </c>
      <c r="G65" s="10" t="s">
        <v>439</v>
      </c>
      <c r="H65" s="10" t="s">
        <v>16</v>
      </c>
      <c r="I65" s="10" t="s">
        <v>440</v>
      </c>
      <c r="J65" s="14" t="s">
        <v>441</v>
      </c>
      <c r="K65" s="10" t="s">
        <v>442</v>
      </c>
      <c r="L65" s="11">
        <v>400000</v>
      </c>
      <c r="M65" s="11">
        <v>240000</v>
      </c>
      <c r="N65" s="11"/>
      <c r="O65" s="11">
        <f t="shared" si="2"/>
        <v>160000</v>
      </c>
      <c r="P65" s="12">
        <f t="shared" si="3"/>
        <v>0.4</v>
      </c>
    </row>
    <row r="66" spans="1:16">
      <c r="A66" s="33">
        <v>62</v>
      </c>
      <c r="B66" s="50" t="s">
        <v>818</v>
      </c>
      <c r="C66" s="51" t="s">
        <v>777</v>
      </c>
      <c r="D66" s="10" t="s">
        <v>443</v>
      </c>
      <c r="E66" s="10" t="s">
        <v>444</v>
      </c>
      <c r="F66" s="10" t="s">
        <v>375</v>
      </c>
      <c r="G66" s="10" t="s">
        <v>445</v>
      </c>
      <c r="H66" s="10" t="s">
        <v>16</v>
      </c>
      <c r="I66" s="10" t="s">
        <v>446</v>
      </c>
      <c r="J66" s="14" t="s">
        <v>447</v>
      </c>
      <c r="K66" s="10" t="s">
        <v>448</v>
      </c>
      <c r="L66" s="11">
        <v>690000</v>
      </c>
      <c r="M66" s="11">
        <v>590000</v>
      </c>
      <c r="N66" s="11"/>
      <c r="O66" s="11">
        <f t="shared" si="2"/>
        <v>100000</v>
      </c>
      <c r="P66" s="12">
        <f t="shared" si="3"/>
        <v>0.14492753623188406</v>
      </c>
    </row>
    <row r="67" spans="1:16">
      <c r="A67" s="33">
        <v>63</v>
      </c>
      <c r="B67" s="50" t="s">
        <v>818</v>
      </c>
      <c r="C67" s="51" t="s">
        <v>777</v>
      </c>
      <c r="D67" s="10"/>
      <c r="E67" s="10"/>
      <c r="F67" s="10"/>
      <c r="G67" s="10"/>
      <c r="H67" s="10" t="s">
        <v>62</v>
      </c>
      <c r="I67" s="10"/>
      <c r="J67" s="14" t="s">
        <v>449</v>
      </c>
      <c r="K67" s="10"/>
      <c r="L67" s="11">
        <v>0</v>
      </c>
      <c r="M67" s="11">
        <v>40000</v>
      </c>
      <c r="N67" s="11"/>
      <c r="O67" s="11">
        <f t="shared" si="2"/>
        <v>-40000</v>
      </c>
      <c r="P67" s="12">
        <f t="shared" si="3"/>
        <v>0</v>
      </c>
    </row>
    <row r="68" spans="1:16">
      <c r="A68" s="33">
        <v>64</v>
      </c>
      <c r="B68" s="50" t="s">
        <v>830</v>
      </c>
      <c r="C68" s="51" t="s">
        <v>785</v>
      </c>
      <c r="D68" s="10" t="s">
        <v>450</v>
      </c>
      <c r="E68" s="10"/>
      <c r="F68" s="10" t="s">
        <v>451</v>
      </c>
      <c r="G68" s="10" t="s">
        <v>452</v>
      </c>
      <c r="H68" s="10" t="s">
        <v>453</v>
      </c>
      <c r="I68" s="10" t="s">
        <v>454</v>
      </c>
      <c r="J68" s="14" t="s">
        <v>455</v>
      </c>
      <c r="K68" s="10" t="s">
        <v>456</v>
      </c>
      <c r="L68" s="11">
        <v>670000</v>
      </c>
      <c r="M68" s="11">
        <v>640000</v>
      </c>
      <c r="N68" s="11"/>
      <c r="O68" s="11">
        <f t="shared" si="2"/>
        <v>30000</v>
      </c>
      <c r="P68" s="12">
        <f t="shared" si="3"/>
        <v>4.4776119402985072E-2</v>
      </c>
    </row>
    <row r="69" spans="1:16">
      <c r="A69" s="33">
        <v>65</v>
      </c>
      <c r="B69" s="50" t="s">
        <v>831</v>
      </c>
      <c r="C69" s="51" t="s">
        <v>785</v>
      </c>
      <c r="D69" s="10" t="s">
        <v>457</v>
      </c>
      <c r="E69" s="10" t="s">
        <v>458</v>
      </c>
      <c r="F69" s="10" t="s">
        <v>438</v>
      </c>
      <c r="G69" s="10" t="s">
        <v>459</v>
      </c>
      <c r="H69" s="10" t="s">
        <v>460</v>
      </c>
      <c r="I69" s="10" t="s">
        <v>461</v>
      </c>
      <c r="J69" s="14" t="s">
        <v>462</v>
      </c>
      <c r="K69" s="10" t="s">
        <v>463</v>
      </c>
      <c r="L69" s="11">
        <v>640000</v>
      </c>
      <c r="M69" s="11">
        <v>600000</v>
      </c>
      <c r="N69" s="11"/>
      <c r="O69" s="11">
        <f t="shared" ref="O69:O100" si="4">L69-M69-N69</f>
        <v>40000</v>
      </c>
      <c r="P69" s="12">
        <f t="shared" ref="P69:P100" si="5">IF(VALUE(L69)&lt;=0,0,O69/L69)</f>
        <v>6.25E-2</v>
      </c>
    </row>
    <row r="70" spans="1:16">
      <c r="A70" s="33">
        <v>66</v>
      </c>
      <c r="B70" s="50" t="s">
        <v>832</v>
      </c>
      <c r="C70" s="51" t="s">
        <v>785</v>
      </c>
      <c r="D70" s="10" t="s">
        <v>464</v>
      </c>
      <c r="E70" s="10"/>
      <c r="F70" s="10" t="s">
        <v>465</v>
      </c>
      <c r="G70" s="10" t="s">
        <v>466</v>
      </c>
      <c r="H70" s="10" t="s">
        <v>467</v>
      </c>
      <c r="I70" s="10" t="s">
        <v>468</v>
      </c>
      <c r="J70" s="14" t="s">
        <v>469</v>
      </c>
      <c r="K70" s="10" t="s">
        <v>93</v>
      </c>
      <c r="L70" s="11">
        <v>640000</v>
      </c>
      <c r="M70" s="11">
        <v>610000</v>
      </c>
      <c r="N70" s="11"/>
      <c r="O70" s="11">
        <f t="shared" si="4"/>
        <v>30000</v>
      </c>
      <c r="P70" s="12">
        <f t="shared" si="5"/>
        <v>4.6875E-2</v>
      </c>
    </row>
    <row r="71" spans="1:16">
      <c r="A71" s="33">
        <v>67</v>
      </c>
      <c r="B71" s="50" t="s">
        <v>831</v>
      </c>
      <c r="C71" s="51" t="s">
        <v>777</v>
      </c>
      <c r="D71" s="10" t="s">
        <v>470</v>
      </c>
      <c r="E71" s="10"/>
      <c r="F71" s="10" t="s">
        <v>329</v>
      </c>
      <c r="G71" s="10" t="s">
        <v>471</v>
      </c>
      <c r="H71" s="10" t="s">
        <v>472</v>
      </c>
      <c r="I71" s="10" t="s">
        <v>473</v>
      </c>
      <c r="J71" s="14" t="s">
        <v>474</v>
      </c>
      <c r="K71" s="10" t="s">
        <v>475</v>
      </c>
      <c r="L71" s="11">
        <v>680000</v>
      </c>
      <c r="M71" s="11">
        <v>650000</v>
      </c>
      <c r="N71" s="11"/>
      <c r="O71" s="11">
        <f t="shared" si="4"/>
        <v>30000</v>
      </c>
      <c r="P71" s="12">
        <f t="shared" si="5"/>
        <v>4.4117647058823532E-2</v>
      </c>
    </row>
    <row r="72" spans="1:16">
      <c r="A72" s="33">
        <v>68</v>
      </c>
      <c r="B72" s="50" t="s">
        <v>832</v>
      </c>
      <c r="C72" s="51" t="s">
        <v>785</v>
      </c>
      <c r="D72" s="10"/>
      <c r="E72" s="10"/>
      <c r="F72" s="10" t="s">
        <v>476</v>
      </c>
      <c r="G72" s="10" t="s">
        <v>477</v>
      </c>
      <c r="H72" s="10" t="s">
        <v>478</v>
      </c>
      <c r="I72" s="10" t="s">
        <v>479</v>
      </c>
      <c r="J72" s="14" t="s">
        <v>480</v>
      </c>
      <c r="K72" s="10" t="s">
        <v>23</v>
      </c>
      <c r="L72" s="11">
        <v>780000</v>
      </c>
      <c r="M72" s="11">
        <v>750000</v>
      </c>
      <c r="N72" s="11"/>
      <c r="O72" s="11">
        <f t="shared" si="4"/>
        <v>30000</v>
      </c>
      <c r="P72" s="12">
        <f t="shared" si="5"/>
        <v>3.8461538461538464E-2</v>
      </c>
    </row>
    <row r="73" spans="1:16">
      <c r="A73" s="33">
        <v>69</v>
      </c>
      <c r="B73" s="50" t="s">
        <v>832</v>
      </c>
      <c r="C73" s="51" t="s">
        <v>777</v>
      </c>
      <c r="D73" s="10" t="s">
        <v>17</v>
      </c>
      <c r="E73" s="10"/>
      <c r="F73" s="10" t="s">
        <v>481</v>
      </c>
      <c r="G73" s="10" t="s">
        <v>482</v>
      </c>
      <c r="H73" s="10" t="s">
        <v>16</v>
      </c>
      <c r="I73" s="10" t="s">
        <v>121</v>
      </c>
      <c r="J73" s="14" t="s">
        <v>483</v>
      </c>
      <c r="K73" s="10" t="s">
        <v>484</v>
      </c>
      <c r="L73" s="11">
        <v>400000</v>
      </c>
      <c r="M73" s="11">
        <v>250000</v>
      </c>
      <c r="N73" s="11"/>
      <c r="O73" s="11">
        <f t="shared" si="4"/>
        <v>150000</v>
      </c>
      <c r="P73" s="12">
        <f t="shared" si="5"/>
        <v>0.375</v>
      </c>
    </row>
    <row r="74" spans="1:16">
      <c r="A74" s="33">
        <v>70</v>
      </c>
      <c r="B74" s="50" t="s">
        <v>832</v>
      </c>
      <c r="C74" s="51" t="s">
        <v>785</v>
      </c>
      <c r="D74" s="10" t="s">
        <v>486</v>
      </c>
      <c r="E74" s="10"/>
      <c r="F74" s="10" t="s">
        <v>487</v>
      </c>
      <c r="G74" s="10" t="s">
        <v>150</v>
      </c>
      <c r="H74" s="10" t="s">
        <v>16</v>
      </c>
      <c r="I74" s="10" t="s">
        <v>488</v>
      </c>
      <c r="J74" s="14" t="s">
        <v>489</v>
      </c>
      <c r="K74" s="10" t="s">
        <v>490</v>
      </c>
      <c r="L74" s="11">
        <v>580000</v>
      </c>
      <c r="M74" s="11">
        <v>370000</v>
      </c>
      <c r="N74" s="11"/>
      <c r="O74" s="11">
        <f t="shared" si="4"/>
        <v>210000</v>
      </c>
      <c r="P74" s="12">
        <f t="shared" si="5"/>
        <v>0.36206896551724138</v>
      </c>
    </row>
    <row r="75" spans="1:16">
      <c r="A75" s="33">
        <v>71</v>
      </c>
      <c r="B75" s="50" t="s">
        <v>824</v>
      </c>
      <c r="C75" s="51" t="s">
        <v>777</v>
      </c>
      <c r="D75" s="10" t="s">
        <v>491</v>
      </c>
      <c r="E75" s="10" t="s">
        <v>151</v>
      </c>
      <c r="F75" s="10" t="s">
        <v>492</v>
      </c>
      <c r="G75" s="10" t="s">
        <v>493</v>
      </c>
      <c r="H75" s="10" t="s">
        <v>16</v>
      </c>
      <c r="I75" s="10" t="s">
        <v>494</v>
      </c>
      <c r="J75" s="14" t="s">
        <v>495</v>
      </c>
      <c r="K75" s="10" t="s">
        <v>496</v>
      </c>
      <c r="L75" s="11">
        <v>580000</v>
      </c>
      <c r="M75" s="11">
        <v>280000</v>
      </c>
      <c r="N75" s="11"/>
      <c r="O75" s="11">
        <f t="shared" si="4"/>
        <v>300000</v>
      </c>
      <c r="P75" s="12">
        <f t="shared" si="5"/>
        <v>0.51724137931034486</v>
      </c>
    </row>
    <row r="76" spans="1:16">
      <c r="A76" s="33">
        <v>72</v>
      </c>
      <c r="B76" s="50" t="s">
        <v>833</v>
      </c>
      <c r="C76" s="51" t="s">
        <v>777</v>
      </c>
      <c r="D76" s="10" t="s">
        <v>497</v>
      </c>
      <c r="E76" s="10"/>
      <c r="F76" s="10" t="s">
        <v>210</v>
      </c>
      <c r="G76" s="10" t="s">
        <v>498</v>
      </c>
      <c r="H76" s="10" t="s">
        <v>356</v>
      </c>
      <c r="I76" s="10" t="s">
        <v>485</v>
      </c>
      <c r="J76" s="14" t="s">
        <v>499</v>
      </c>
      <c r="K76" s="10" t="s">
        <v>500</v>
      </c>
      <c r="L76" s="11">
        <v>530000</v>
      </c>
      <c r="M76" s="11">
        <v>500000</v>
      </c>
      <c r="N76" s="11"/>
      <c r="O76" s="11">
        <f t="shared" si="4"/>
        <v>30000</v>
      </c>
      <c r="P76" s="12">
        <f t="shared" si="5"/>
        <v>5.6603773584905662E-2</v>
      </c>
    </row>
    <row r="77" spans="1:16">
      <c r="A77" s="33">
        <v>73</v>
      </c>
      <c r="B77" s="50" t="s">
        <v>833</v>
      </c>
      <c r="C77" s="51" t="s">
        <v>777</v>
      </c>
      <c r="D77" s="10" t="s">
        <v>497</v>
      </c>
      <c r="E77" s="10"/>
      <c r="F77" s="10" t="s">
        <v>210</v>
      </c>
      <c r="G77" s="10" t="s">
        <v>498</v>
      </c>
      <c r="H77" s="10" t="s">
        <v>356</v>
      </c>
      <c r="I77" s="10" t="s">
        <v>485</v>
      </c>
      <c r="J77" s="14" t="s">
        <v>501</v>
      </c>
      <c r="K77" s="10" t="s">
        <v>500</v>
      </c>
      <c r="L77" s="11">
        <v>450000</v>
      </c>
      <c r="M77" s="11">
        <v>410000</v>
      </c>
      <c r="N77" s="11"/>
      <c r="O77" s="11">
        <f t="shared" si="4"/>
        <v>40000</v>
      </c>
      <c r="P77" s="12">
        <f t="shared" si="5"/>
        <v>8.8888888888888892E-2</v>
      </c>
    </row>
    <row r="78" spans="1:16">
      <c r="A78" s="33">
        <v>74</v>
      </c>
      <c r="B78" s="50" t="s">
        <v>834</v>
      </c>
      <c r="C78" s="51" t="s">
        <v>835</v>
      </c>
      <c r="D78" s="10" t="s">
        <v>505</v>
      </c>
      <c r="E78" s="10"/>
      <c r="F78" s="10" t="s">
        <v>506</v>
      </c>
      <c r="G78" s="10" t="s">
        <v>507</v>
      </c>
      <c r="H78" s="10" t="s">
        <v>508</v>
      </c>
      <c r="I78" s="10" t="s">
        <v>509</v>
      </c>
      <c r="J78" s="14" t="s">
        <v>510</v>
      </c>
      <c r="K78" s="10" t="s">
        <v>237</v>
      </c>
      <c r="L78" s="11">
        <v>380000</v>
      </c>
      <c r="M78" s="11">
        <v>350000</v>
      </c>
      <c r="N78" s="11"/>
      <c r="O78" s="11">
        <f t="shared" si="4"/>
        <v>30000</v>
      </c>
      <c r="P78" s="12">
        <f t="shared" si="5"/>
        <v>7.8947368421052627E-2</v>
      </c>
    </row>
    <row r="79" spans="1:16">
      <c r="A79" s="33">
        <v>75</v>
      </c>
      <c r="B79" s="50" t="s">
        <v>836</v>
      </c>
      <c r="C79" s="51" t="s">
        <v>785</v>
      </c>
      <c r="D79" s="10" t="s">
        <v>511</v>
      </c>
      <c r="E79" s="10"/>
      <c r="F79" s="10" t="s">
        <v>512</v>
      </c>
      <c r="G79" s="10" t="s">
        <v>513</v>
      </c>
      <c r="H79" s="10" t="s">
        <v>315</v>
      </c>
      <c r="I79" s="10" t="s">
        <v>166</v>
      </c>
      <c r="J79" s="14" t="s">
        <v>514</v>
      </c>
      <c r="K79" s="10" t="s">
        <v>119</v>
      </c>
      <c r="L79" s="11">
        <v>580000</v>
      </c>
      <c r="M79" s="11">
        <v>540000</v>
      </c>
      <c r="N79" s="11"/>
      <c r="O79" s="11">
        <f t="shared" si="4"/>
        <v>40000</v>
      </c>
      <c r="P79" s="12">
        <f t="shared" si="5"/>
        <v>6.8965517241379309E-2</v>
      </c>
    </row>
    <row r="80" spans="1:16">
      <c r="A80" s="33">
        <v>76</v>
      </c>
      <c r="B80" s="50" t="s">
        <v>837</v>
      </c>
      <c r="C80" s="51" t="s">
        <v>838</v>
      </c>
      <c r="D80" s="10" t="s">
        <v>515</v>
      </c>
      <c r="E80" s="10"/>
      <c r="F80" s="10" t="s">
        <v>210</v>
      </c>
      <c r="G80" s="10" t="s">
        <v>516</v>
      </c>
      <c r="H80" s="10" t="s">
        <v>517</v>
      </c>
      <c r="I80" s="10" t="s">
        <v>518</v>
      </c>
      <c r="J80" s="14" t="s">
        <v>519</v>
      </c>
      <c r="K80" s="10" t="s">
        <v>520</v>
      </c>
      <c r="L80" s="11">
        <v>500000</v>
      </c>
      <c r="M80" s="11">
        <v>470000</v>
      </c>
      <c r="N80" s="11"/>
      <c r="O80" s="11">
        <f t="shared" si="4"/>
        <v>30000</v>
      </c>
      <c r="P80" s="12">
        <f t="shared" si="5"/>
        <v>0.06</v>
      </c>
    </row>
    <row r="81" spans="1:16">
      <c r="A81" s="33">
        <v>77</v>
      </c>
      <c r="B81" s="50" t="s">
        <v>824</v>
      </c>
      <c r="C81" s="51" t="s">
        <v>777</v>
      </c>
      <c r="D81" s="10" t="s">
        <v>521</v>
      </c>
      <c r="E81" s="10"/>
      <c r="F81" s="10" t="s">
        <v>522</v>
      </c>
      <c r="G81" s="10" t="s">
        <v>523</v>
      </c>
      <c r="H81" s="10" t="s">
        <v>16</v>
      </c>
      <c r="I81" s="10" t="s">
        <v>524</v>
      </c>
      <c r="J81" s="14" t="s">
        <v>525</v>
      </c>
      <c r="K81" s="10" t="s">
        <v>526</v>
      </c>
      <c r="L81" s="11">
        <v>720000</v>
      </c>
      <c r="M81" s="11">
        <v>660000</v>
      </c>
      <c r="N81" s="11"/>
      <c r="O81" s="11">
        <f t="shared" si="4"/>
        <v>60000</v>
      </c>
      <c r="P81" s="12">
        <f t="shared" si="5"/>
        <v>8.3333333333333329E-2</v>
      </c>
    </row>
    <row r="82" spans="1:16">
      <c r="A82" s="33">
        <v>78</v>
      </c>
      <c r="B82" s="50" t="s">
        <v>836</v>
      </c>
      <c r="C82" s="51" t="s">
        <v>777</v>
      </c>
      <c r="D82" s="10" t="s">
        <v>527</v>
      </c>
      <c r="E82" s="10"/>
      <c r="F82" s="10" t="s">
        <v>528</v>
      </c>
      <c r="G82" s="10" t="s">
        <v>529</v>
      </c>
      <c r="H82" s="10" t="s">
        <v>16</v>
      </c>
      <c r="I82" s="10" t="s">
        <v>530</v>
      </c>
      <c r="J82" s="14" t="s">
        <v>531</v>
      </c>
      <c r="K82" s="10" t="s">
        <v>532</v>
      </c>
      <c r="L82" s="11">
        <v>710000</v>
      </c>
      <c r="M82" s="11">
        <v>600000</v>
      </c>
      <c r="N82" s="11"/>
      <c r="O82" s="11">
        <f t="shared" si="4"/>
        <v>110000</v>
      </c>
      <c r="P82" s="12">
        <f t="shared" si="5"/>
        <v>0.15492957746478872</v>
      </c>
    </row>
    <row r="83" spans="1:16">
      <c r="A83" s="33">
        <v>79</v>
      </c>
      <c r="B83" s="50" t="s">
        <v>836</v>
      </c>
      <c r="C83" s="51" t="s">
        <v>777</v>
      </c>
      <c r="D83" s="10"/>
      <c r="E83" s="10"/>
      <c r="F83" s="10"/>
      <c r="G83" s="10"/>
      <c r="H83" s="10" t="s">
        <v>62</v>
      </c>
      <c r="I83" s="10"/>
      <c r="J83" s="14" t="s">
        <v>533</v>
      </c>
      <c r="K83" s="10"/>
      <c r="L83" s="11">
        <v>0</v>
      </c>
      <c r="M83" s="11">
        <v>50000</v>
      </c>
      <c r="N83" s="11"/>
      <c r="O83" s="11">
        <f t="shared" si="4"/>
        <v>-50000</v>
      </c>
      <c r="P83" s="12">
        <f t="shared" si="5"/>
        <v>0</v>
      </c>
    </row>
    <row r="84" spans="1:16">
      <c r="A84" s="33">
        <v>80</v>
      </c>
      <c r="B84" s="50" t="s">
        <v>839</v>
      </c>
      <c r="C84" s="51" t="s">
        <v>782</v>
      </c>
      <c r="D84" s="10" t="s">
        <v>534</v>
      </c>
      <c r="E84" s="10"/>
      <c r="F84" s="10" t="s">
        <v>535</v>
      </c>
      <c r="G84" s="10" t="s">
        <v>536</v>
      </c>
      <c r="H84" s="10" t="s">
        <v>16</v>
      </c>
      <c r="I84" s="10" t="s">
        <v>537</v>
      </c>
      <c r="J84" s="14" t="s">
        <v>538</v>
      </c>
      <c r="K84" s="10" t="s">
        <v>539</v>
      </c>
      <c r="L84" s="11">
        <v>550000</v>
      </c>
      <c r="M84" s="11">
        <v>450000</v>
      </c>
      <c r="N84" s="11"/>
      <c r="O84" s="11">
        <f t="shared" si="4"/>
        <v>100000</v>
      </c>
      <c r="P84" s="12">
        <f t="shared" si="5"/>
        <v>0.18181818181818182</v>
      </c>
    </row>
    <row r="85" spans="1:16">
      <c r="A85" s="33">
        <v>81</v>
      </c>
      <c r="B85" s="50" t="s">
        <v>839</v>
      </c>
      <c r="C85" s="51" t="s">
        <v>782</v>
      </c>
      <c r="D85" s="10"/>
      <c r="E85" s="10"/>
      <c r="F85" s="10"/>
      <c r="G85" s="10"/>
      <c r="H85" s="10" t="s">
        <v>62</v>
      </c>
      <c r="I85" s="10"/>
      <c r="J85" s="14" t="s">
        <v>540</v>
      </c>
      <c r="K85" s="10"/>
      <c r="L85" s="11">
        <v>0</v>
      </c>
      <c r="M85" s="11">
        <v>50000</v>
      </c>
      <c r="N85" s="11"/>
      <c r="O85" s="11">
        <f t="shared" si="4"/>
        <v>-50000</v>
      </c>
      <c r="P85" s="12">
        <f t="shared" si="5"/>
        <v>0</v>
      </c>
    </row>
    <row r="86" spans="1:16">
      <c r="A86" s="33">
        <v>82</v>
      </c>
      <c r="B86" s="50" t="s">
        <v>839</v>
      </c>
      <c r="C86" s="51" t="s">
        <v>785</v>
      </c>
      <c r="D86" s="10" t="s">
        <v>541</v>
      </c>
      <c r="E86" s="10"/>
      <c r="F86" s="10" t="s">
        <v>542</v>
      </c>
      <c r="G86" s="10" t="s">
        <v>721</v>
      </c>
      <c r="H86" s="10" t="s">
        <v>544</v>
      </c>
      <c r="I86" s="10" t="s">
        <v>545</v>
      </c>
      <c r="J86" s="14" t="s">
        <v>546</v>
      </c>
      <c r="K86" s="10" t="s">
        <v>547</v>
      </c>
      <c r="L86" s="11">
        <v>630000</v>
      </c>
      <c r="M86" s="11">
        <v>600000</v>
      </c>
      <c r="N86" s="11"/>
      <c r="O86" s="11">
        <f t="shared" si="4"/>
        <v>30000</v>
      </c>
      <c r="P86" s="12">
        <f t="shared" si="5"/>
        <v>4.7619047619047616E-2</v>
      </c>
    </row>
    <row r="87" spans="1:16">
      <c r="A87" s="33">
        <v>83</v>
      </c>
      <c r="B87" s="50" t="s">
        <v>839</v>
      </c>
      <c r="C87" s="51" t="s">
        <v>777</v>
      </c>
      <c r="D87" s="10" t="s">
        <v>549</v>
      </c>
      <c r="E87" s="10"/>
      <c r="F87" s="10" t="s">
        <v>353</v>
      </c>
      <c r="G87" s="10" t="s">
        <v>550</v>
      </c>
      <c r="H87" s="10" t="s">
        <v>551</v>
      </c>
      <c r="I87" s="10" t="s">
        <v>552</v>
      </c>
      <c r="J87" s="14" t="s">
        <v>553</v>
      </c>
      <c r="K87" s="10" t="s">
        <v>359</v>
      </c>
      <c r="L87" s="11">
        <v>370000</v>
      </c>
      <c r="M87" s="11">
        <v>320000</v>
      </c>
      <c r="N87" s="11"/>
      <c r="O87" s="11">
        <f t="shared" si="4"/>
        <v>50000</v>
      </c>
      <c r="P87" s="12">
        <f t="shared" si="5"/>
        <v>0.13513513513513514</v>
      </c>
    </row>
    <row r="88" spans="1:16">
      <c r="A88" s="33">
        <v>84</v>
      </c>
      <c r="B88" s="50" t="s">
        <v>840</v>
      </c>
      <c r="C88" s="51" t="s">
        <v>777</v>
      </c>
      <c r="D88" s="10" t="s">
        <v>554</v>
      </c>
      <c r="E88" s="10"/>
      <c r="F88" s="10" t="s">
        <v>310</v>
      </c>
      <c r="G88" s="10" t="s">
        <v>555</v>
      </c>
      <c r="H88" s="10" t="s">
        <v>556</v>
      </c>
      <c r="I88" s="10" t="s">
        <v>557</v>
      </c>
      <c r="J88" s="14" t="s">
        <v>558</v>
      </c>
      <c r="K88" s="10" t="s">
        <v>559</v>
      </c>
      <c r="L88" s="11">
        <v>550000</v>
      </c>
      <c r="M88" s="11">
        <v>455000</v>
      </c>
      <c r="N88" s="11"/>
      <c r="O88" s="11">
        <f t="shared" si="4"/>
        <v>95000</v>
      </c>
      <c r="P88" s="12">
        <f t="shared" si="5"/>
        <v>0.17272727272727273</v>
      </c>
    </row>
    <row r="89" spans="1:16">
      <c r="A89" s="33">
        <v>85</v>
      </c>
      <c r="B89" s="50" t="s">
        <v>840</v>
      </c>
      <c r="C89" s="51" t="s">
        <v>777</v>
      </c>
      <c r="D89" s="10" t="s">
        <v>892</v>
      </c>
      <c r="E89" s="10" t="s">
        <v>892</v>
      </c>
      <c r="F89" s="10" t="s">
        <v>892</v>
      </c>
      <c r="G89" s="10" t="s">
        <v>892</v>
      </c>
      <c r="H89" s="10" t="s">
        <v>892</v>
      </c>
      <c r="I89" s="10" t="s">
        <v>560</v>
      </c>
      <c r="J89" s="14" t="s">
        <v>561</v>
      </c>
      <c r="K89" s="10"/>
      <c r="L89" s="11">
        <v>0</v>
      </c>
      <c r="M89" s="11">
        <v>50000</v>
      </c>
      <c r="N89" s="11"/>
      <c r="O89" s="11">
        <f t="shared" si="4"/>
        <v>-50000</v>
      </c>
      <c r="P89" s="12">
        <f t="shared" si="5"/>
        <v>0</v>
      </c>
    </row>
    <row r="90" spans="1:16">
      <c r="A90" s="33">
        <v>86</v>
      </c>
      <c r="B90" s="50" t="s">
        <v>836</v>
      </c>
      <c r="C90" s="51" t="s">
        <v>785</v>
      </c>
      <c r="D90" s="10" t="s">
        <v>562</v>
      </c>
      <c r="E90" s="10" t="s">
        <v>502</v>
      </c>
      <c r="F90" s="10" t="s">
        <v>563</v>
      </c>
      <c r="G90" s="10" t="s">
        <v>564</v>
      </c>
      <c r="H90" s="10" t="s">
        <v>16</v>
      </c>
      <c r="I90" s="10" t="s">
        <v>565</v>
      </c>
      <c r="J90" s="14" t="s">
        <v>566</v>
      </c>
      <c r="K90" s="10" t="s">
        <v>567</v>
      </c>
      <c r="L90" s="11">
        <v>650000</v>
      </c>
      <c r="M90" s="11">
        <v>460000</v>
      </c>
      <c r="N90" s="11"/>
      <c r="O90" s="11">
        <f t="shared" si="4"/>
        <v>190000</v>
      </c>
      <c r="P90" s="12">
        <f t="shared" si="5"/>
        <v>0.29230769230769232</v>
      </c>
    </row>
    <row r="91" spans="1:16">
      <c r="A91" s="33">
        <v>87</v>
      </c>
      <c r="B91" s="50" t="s">
        <v>841</v>
      </c>
      <c r="C91" s="51" t="s">
        <v>785</v>
      </c>
      <c r="D91" s="10" t="s">
        <v>115</v>
      </c>
      <c r="E91" s="10" t="s">
        <v>151</v>
      </c>
      <c r="F91" s="10" t="s">
        <v>568</v>
      </c>
      <c r="G91" s="10" t="s">
        <v>569</v>
      </c>
      <c r="H91" s="10" t="s">
        <v>570</v>
      </c>
      <c r="I91" s="10" t="s">
        <v>571</v>
      </c>
      <c r="J91" s="14" t="s">
        <v>572</v>
      </c>
      <c r="K91" s="10" t="s">
        <v>573</v>
      </c>
      <c r="L91" s="11">
        <v>630000</v>
      </c>
      <c r="M91" s="11">
        <v>600000</v>
      </c>
      <c r="N91" s="11"/>
      <c r="O91" s="11">
        <f t="shared" si="4"/>
        <v>30000</v>
      </c>
      <c r="P91" s="12">
        <f t="shared" si="5"/>
        <v>4.7619047619047616E-2</v>
      </c>
    </row>
    <row r="92" spans="1:16">
      <c r="A92" s="33">
        <v>88</v>
      </c>
      <c r="B92" s="50" t="s">
        <v>841</v>
      </c>
      <c r="C92" s="51" t="s">
        <v>785</v>
      </c>
      <c r="D92" s="10" t="s">
        <v>527</v>
      </c>
      <c r="E92" s="10"/>
      <c r="F92" s="10" t="s">
        <v>574</v>
      </c>
      <c r="G92" s="10" t="s">
        <v>575</v>
      </c>
      <c r="H92" s="10" t="s">
        <v>430</v>
      </c>
      <c r="I92" s="10" t="s">
        <v>431</v>
      </c>
      <c r="J92" s="14" t="s">
        <v>576</v>
      </c>
      <c r="K92" s="10" t="s">
        <v>577</v>
      </c>
      <c r="L92" s="11">
        <v>580000</v>
      </c>
      <c r="M92" s="11">
        <v>540000</v>
      </c>
      <c r="N92" s="11"/>
      <c r="O92" s="11">
        <f t="shared" si="4"/>
        <v>40000</v>
      </c>
      <c r="P92" s="12">
        <f t="shared" si="5"/>
        <v>6.8965517241379309E-2</v>
      </c>
    </row>
    <row r="93" spans="1:16">
      <c r="A93" s="33">
        <v>89</v>
      </c>
      <c r="B93" s="50" t="s">
        <v>842</v>
      </c>
      <c r="C93" s="51" t="s">
        <v>777</v>
      </c>
      <c r="D93" s="10" t="s">
        <v>174</v>
      </c>
      <c r="E93" s="10" t="s">
        <v>578</v>
      </c>
      <c r="F93" s="10" t="s">
        <v>424</v>
      </c>
      <c r="G93" s="10" t="s">
        <v>579</v>
      </c>
      <c r="H93" s="10" t="s">
        <v>580</v>
      </c>
      <c r="I93" s="10" t="s">
        <v>581</v>
      </c>
      <c r="J93" s="14" t="s">
        <v>582</v>
      </c>
      <c r="K93" s="10" t="s">
        <v>583</v>
      </c>
      <c r="L93" s="11">
        <v>560000</v>
      </c>
      <c r="M93" s="11">
        <v>530000</v>
      </c>
      <c r="N93" s="11"/>
      <c r="O93" s="11">
        <f t="shared" si="4"/>
        <v>30000</v>
      </c>
      <c r="P93" s="12">
        <f t="shared" si="5"/>
        <v>5.3571428571428568E-2</v>
      </c>
    </row>
    <row r="94" spans="1:16">
      <c r="A94" s="33">
        <v>90</v>
      </c>
      <c r="B94" s="50" t="s">
        <v>842</v>
      </c>
      <c r="C94" s="51" t="s">
        <v>785</v>
      </c>
      <c r="D94" s="10" t="s">
        <v>584</v>
      </c>
      <c r="E94" s="10"/>
      <c r="F94" s="10" t="s">
        <v>585</v>
      </c>
      <c r="G94" s="10" t="s">
        <v>586</v>
      </c>
      <c r="H94" s="10" t="s">
        <v>16</v>
      </c>
      <c r="I94" s="10" t="s">
        <v>587</v>
      </c>
      <c r="J94" s="14" t="s">
        <v>588</v>
      </c>
      <c r="K94" s="10" t="s">
        <v>589</v>
      </c>
      <c r="L94" s="11">
        <v>660000</v>
      </c>
      <c r="M94" s="11">
        <v>550000</v>
      </c>
      <c r="N94" s="11"/>
      <c r="O94" s="11">
        <f t="shared" si="4"/>
        <v>110000</v>
      </c>
      <c r="P94" s="12">
        <f t="shared" si="5"/>
        <v>0.16666666666666666</v>
      </c>
    </row>
    <row r="95" spans="1:16">
      <c r="A95" s="33">
        <v>91</v>
      </c>
      <c r="B95" s="50" t="s">
        <v>842</v>
      </c>
      <c r="C95" s="51" t="s">
        <v>785</v>
      </c>
      <c r="D95" s="10"/>
      <c r="E95" s="10"/>
      <c r="F95" s="10"/>
      <c r="G95" s="10"/>
      <c r="H95" s="10" t="s">
        <v>62</v>
      </c>
      <c r="I95" s="10"/>
      <c r="J95" s="14" t="s">
        <v>590</v>
      </c>
      <c r="K95" s="10"/>
      <c r="L95" s="11">
        <v>0</v>
      </c>
      <c r="M95" s="11">
        <v>50000</v>
      </c>
      <c r="N95" s="11"/>
      <c r="O95" s="11">
        <f t="shared" si="4"/>
        <v>-50000</v>
      </c>
      <c r="P95" s="12">
        <f t="shared" si="5"/>
        <v>0</v>
      </c>
    </row>
    <row r="96" spans="1:16">
      <c r="A96" s="33">
        <v>92</v>
      </c>
      <c r="B96" s="50" t="s">
        <v>843</v>
      </c>
      <c r="C96" s="51" t="s">
        <v>785</v>
      </c>
      <c r="D96" s="10"/>
      <c r="E96" s="10"/>
      <c r="F96" s="10" t="s">
        <v>593</v>
      </c>
      <c r="G96" s="10" t="s">
        <v>594</v>
      </c>
      <c r="H96" s="10" t="s">
        <v>595</v>
      </c>
      <c r="I96" s="10" t="s">
        <v>596</v>
      </c>
      <c r="J96" s="14" t="s">
        <v>597</v>
      </c>
      <c r="K96" s="10" t="s">
        <v>532</v>
      </c>
      <c r="L96" s="11">
        <v>430000</v>
      </c>
      <c r="M96" s="11">
        <v>250000</v>
      </c>
      <c r="N96" s="11"/>
      <c r="O96" s="11">
        <f t="shared" si="4"/>
        <v>180000</v>
      </c>
      <c r="P96" s="12">
        <f t="shared" si="5"/>
        <v>0.41860465116279072</v>
      </c>
    </row>
    <row r="97" spans="1:16">
      <c r="A97" s="33">
        <v>93</v>
      </c>
      <c r="B97" s="50" t="s">
        <v>843</v>
      </c>
      <c r="C97" s="51" t="s">
        <v>785</v>
      </c>
      <c r="D97" s="10"/>
      <c r="E97" s="10"/>
      <c r="F97" s="10" t="s">
        <v>593</v>
      </c>
      <c r="G97" s="10" t="s">
        <v>594</v>
      </c>
      <c r="H97" s="10" t="s">
        <v>595</v>
      </c>
      <c r="I97" s="10" t="s">
        <v>596</v>
      </c>
      <c r="J97" s="14" t="s">
        <v>598</v>
      </c>
      <c r="K97" s="10" t="s">
        <v>532</v>
      </c>
      <c r="L97" s="11">
        <v>350000</v>
      </c>
      <c r="M97" s="11">
        <v>220000</v>
      </c>
      <c r="N97" s="11"/>
      <c r="O97" s="11">
        <f t="shared" si="4"/>
        <v>130000</v>
      </c>
      <c r="P97" s="12">
        <f t="shared" si="5"/>
        <v>0.37142857142857144</v>
      </c>
    </row>
    <row r="98" spans="1:16">
      <c r="A98" s="33">
        <v>94</v>
      </c>
      <c r="B98" s="50" t="s">
        <v>843</v>
      </c>
      <c r="C98" s="51" t="s">
        <v>785</v>
      </c>
      <c r="D98" s="10"/>
      <c r="E98" s="10"/>
      <c r="F98" s="10" t="s">
        <v>593</v>
      </c>
      <c r="G98" s="10" t="s">
        <v>594</v>
      </c>
      <c r="H98" s="10" t="s">
        <v>595</v>
      </c>
      <c r="I98" s="10" t="s">
        <v>599</v>
      </c>
      <c r="J98" s="14" t="s">
        <v>600</v>
      </c>
      <c r="K98" s="10" t="s">
        <v>532</v>
      </c>
      <c r="L98" s="11">
        <v>350000</v>
      </c>
      <c r="M98" s="11">
        <v>220000</v>
      </c>
      <c r="N98" s="11"/>
      <c r="O98" s="11">
        <f t="shared" si="4"/>
        <v>130000</v>
      </c>
      <c r="P98" s="12">
        <f t="shared" si="5"/>
        <v>0.37142857142857144</v>
      </c>
    </row>
    <row r="99" spans="1:16">
      <c r="A99" s="33">
        <v>95</v>
      </c>
      <c r="B99" s="50" t="s">
        <v>843</v>
      </c>
      <c r="C99" s="51" t="s">
        <v>785</v>
      </c>
      <c r="D99" s="10" t="s">
        <v>601</v>
      </c>
      <c r="E99" s="10"/>
      <c r="F99" s="10" t="s">
        <v>602</v>
      </c>
      <c r="G99" s="10" t="s">
        <v>603</v>
      </c>
      <c r="H99" s="10" t="s">
        <v>604</v>
      </c>
      <c r="I99" s="10" t="s">
        <v>605</v>
      </c>
      <c r="J99" s="14" t="s">
        <v>606</v>
      </c>
      <c r="K99" s="10" t="s">
        <v>607</v>
      </c>
      <c r="L99" s="11">
        <v>645000</v>
      </c>
      <c r="M99" s="11">
        <v>620000</v>
      </c>
      <c r="N99" s="11"/>
      <c r="O99" s="11">
        <f t="shared" si="4"/>
        <v>25000</v>
      </c>
      <c r="P99" s="12">
        <f t="shared" si="5"/>
        <v>3.875968992248062E-2</v>
      </c>
    </row>
    <row r="100" spans="1:16">
      <c r="A100" s="33">
        <v>96</v>
      </c>
      <c r="B100" s="50" t="s">
        <v>844</v>
      </c>
      <c r="C100" s="51" t="s">
        <v>785</v>
      </c>
      <c r="D100" s="10" t="s">
        <v>601</v>
      </c>
      <c r="E100" s="10"/>
      <c r="F100" s="10" t="s">
        <v>602</v>
      </c>
      <c r="G100" s="10" t="s">
        <v>603</v>
      </c>
      <c r="H100" s="10" t="s">
        <v>608</v>
      </c>
      <c r="I100" s="10" t="s">
        <v>609</v>
      </c>
      <c r="J100" s="14" t="s">
        <v>610</v>
      </c>
      <c r="K100" s="10" t="s">
        <v>611</v>
      </c>
      <c r="L100" s="11">
        <v>570000</v>
      </c>
      <c r="M100" s="11">
        <v>540000</v>
      </c>
      <c r="N100" s="11"/>
      <c r="O100" s="11">
        <f t="shared" si="4"/>
        <v>30000</v>
      </c>
      <c r="P100" s="12">
        <f t="shared" si="5"/>
        <v>5.2631578947368418E-2</v>
      </c>
    </row>
    <row r="101" spans="1:16">
      <c r="A101" s="33">
        <v>97</v>
      </c>
      <c r="B101" s="50" t="s">
        <v>845</v>
      </c>
      <c r="C101" s="51" t="s">
        <v>785</v>
      </c>
      <c r="D101" s="10" t="s">
        <v>612</v>
      </c>
      <c r="E101" s="10"/>
      <c r="F101" s="10" t="s">
        <v>424</v>
      </c>
      <c r="G101" s="10" t="s">
        <v>613</v>
      </c>
      <c r="H101" s="10" t="s">
        <v>614</v>
      </c>
      <c r="I101" s="10" t="s">
        <v>615</v>
      </c>
      <c r="J101" s="14" t="s">
        <v>616</v>
      </c>
      <c r="K101" s="10" t="s">
        <v>617</v>
      </c>
      <c r="L101" s="11">
        <v>350000</v>
      </c>
      <c r="M101" s="11">
        <v>320000</v>
      </c>
      <c r="N101" s="11"/>
      <c r="O101" s="11">
        <f t="shared" ref="O101:O130" si="6">L101-M101-N101</f>
        <v>30000</v>
      </c>
      <c r="P101" s="12">
        <f t="shared" ref="P101:P130" si="7">IF(VALUE(L101)&lt;=0,0,O101/L101)</f>
        <v>8.5714285714285715E-2</v>
      </c>
    </row>
    <row r="102" spans="1:16">
      <c r="A102" s="33">
        <v>98</v>
      </c>
      <c r="B102" s="50" t="s">
        <v>845</v>
      </c>
      <c r="C102" s="51" t="s">
        <v>785</v>
      </c>
      <c r="D102" s="10" t="s">
        <v>612</v>
      </c>
      <c r="E102" s="10"/>
      <c r="F102" s="10" t="s">
        <v>424</v>
      </c>
      <c r="G102" s="10" t="s">
        <v>613</v>
      </c>
      <c r="H102" s="10" t="s">
        <v>614</v>
      </c>
      <c r="I102" s="10" t="s">
        <v>615</v>
      </c>
      <c r="J102" s="14" t="s">
        <v>618</v>
      </c>
      <c r="K102" s="10" t="s">
        <v>617</v>
      </c>
      <c r="L102" s="11">
        <v>350000</v>
      </c>
      <c r="M102" s="11">
        <v>320000</v>
      </c>
      <c r="N102" s="11"/>
      <c r="O102" s="11">
        <f t="shared" si="6"/>
        <v>30000</v>
      </c>
      <c r="P102" s="12">
        <f t="shared" si="7"/>
        <v>8.5714285714285715E-2</v>
      </c>
    </row>
    <row r="103" spans="1:16">
      <c r="A103" s="33">
        <v>99</v>
      </c>
      <c r="B103" s="50" t="s">
        <v>846</v>
      </c>
      <c r="C103" s="51" t="s">
        <v>785</v>
      </c>
      <c r="D103" s="10" t="s">
        <v>619</v>
      </c>
      <c r="E103" s="10" t="s">
        <v>620</v>
      </c>
      <c r="F103" s="10" t="s">
        <v>465</v>
      </c>
      <c r="G103" s="10" t="s">
        <v>621</v>
      </c>
      <c r="H103" s="10" t="s">
        <v>622</v>
      </c>
      <c r="I103" s="10" t="s">
        <v>623</v>
      </c>
      <c r="J103" s="14" t="s">
        <v>624</v>
      </c>
      <c r="K103" s="10" t="s">
        <v>625</v>
      </c>
      <c r="L103" s="11">
        <v>670000</v>
      </c>
      <c r="M103" s="11">
        <v>640000</v>
      </c>
      <c r="N103" s="11"/>
      <c r="O103" s="11">
        <f t="shared" si="6"/>
        <v>30000</v>
      </c>
      <c r="P103" s="12">
        <f t="shared" si="7"/>
        <v>4.4776119402985072E-2</v>
      </c>
    </row>
    <row r="104" spans="1:16">
      <c r="A104" s="33">
        <v>100</v>
      </c>
      <c r="B104" s="50" t="s">
        <v>846</v>
      </c>
      <c r="C104" s="51" t="s">
        <v>785</v>
      </c>
      <c r="D104" s="10" t="s">
        <v>619</v>
      </c>
      <c r="E104" s="10" t="s">
        <v>620</v>
      </c>
      <c r="F104" s="10" t="s">
        <v>465</v>
      </c>
      <c r="G104" s="10" t="s">
        <v>621</v>
      </c>
      <c r="H104" s="10" t="s">
        <v>58</v>
      </c>
      <c r="I104" s="10" t="s">
        <v>626</v>
      </c>
      <c r="J104" s="14" t="s">
        <v>627</v>
      </c>
      <c r="K104" s="10" t="s">
        <v>625</v>
      </c>
      <c r="L104" s="11">
        <v>600000</v>
      </c>
      <c r="M104" s="11">
        <v>550000</v>
      </c>
      <c r="N104" s="11"/>
      <c r="O104" s="11">
        <f t="shared" si="6"/>
        <v>50000</v>
      </c>
      <c r="P104" s="12">
        <f t="shared" si="7"/>
        <v>8.3333333333333329E-2</v>
      </c>
    </row>
    <row r="105" spans="1:16">
      <c r="A105" s="33">
        <v>101</v>
      </c>
      <c r="B105" s="50" t="s">
        <v>846</v>
      </c>
      <c r="C105" s="51" t="s">
        <v>785</v>
      </c>
      <c r="D105" s="10" t="s">
        <v>628</v>
      </c>
      <c r="E105" s="10"/>
      <c r="F105" s="10" t="s">
        <v>522</v>
      </c>
      <c r="G105" s="10" t="s">
        <v>629</v>
      </c>
      <c r="H105" s="10" t="s">
        <v>630</v>
      </c>
      <c r="I105" s="10" t="s">
        <v>631</v>
      </c>
      <c r="J105" s="14" t="s">
        <v>632</v>
      </c>
      <c r="K105" s="10" t="s">
        <v>633</v>
      </c>
      <c r="L105" s="11">
        <v>600000</v>
      </c>
      <c r="M105" s="11">
        <v>570000</v>
      </c>
      <c r="N105" s="11"/>
      <c r="O105" s="11">
        <f t="shared" si="6"/>
        <v>30000</v>
      </c>
      <c r="P105" s="12">
        <f t="shared" si="7"/>
        <v>0.05</v>
      </c>
    </row>
    <row r="106" spans="1:16">
      <c r="A106" s="33">
        <v>102</v>
      </c>
      <c r="B106" s="50" t="s">
        <v>847</v>
      </c>
      <c r="C106" s="51" t="s">
        <v>785</v>
      </c>
      <c r="D106" s="10" t="s">
        <v>634</v>
      </c>
      <c r="E106" s="10"/>
      <c r="F106" s="10" t="s">
        <v>424</v>
      </c>
      <c r="G106" s="10" t="s">
        <v>635</v>
      </c>
      <c r="H106" s="10" t="s">
        <v>636</v>
      </c>
      <c r="I106" s="10" t="s">
        <v>637</v>
      </c>
      <c r="J106" s="14" t="s">
        <v>638</v>
      </c>
      <c r="K106" s="10" t="s">
        <v>429</v>
      </c>
      <c r="L106" s="11">
        <v>350000</v>
      </c>
      <c r="M106" s="11">
        <v>320000</v>
      </c>
      <c r="N106" s="11"/>
      <c r="O106" s="11">
        <f t="shared" si="6"/>
        <v>30000</v>
      </c>
      <c r="P106" s="12">
        <f t="shared" si="7"/>
        <v>8.5714285714285715E-2</v>
      </c>
    </row>
    <row r="107" spans="1:16">
      <c r="A107" s="33">
        <v>103</v>
      </c>
      <c r="B107" s="50" t="s">
        <v>846</v>
      </c>
      <c r="C107" s="51" t="s">
        <v>785</v>
      </c>
      <c r="D107" s="10" t="s">
        <v>151</v>
      </c>
      <c r="E107" s="10"/>
      <c r="F107" s="10" t="s">
        <v>639</v>
      </c>
      <c r="G107" s="10" t="s">
        <v>640</v>
      </c>
      <c r="H107" s="10" t="s">
        <v>16</v>
      </c>
      <c r="I107" s="10" t="s">
        <v>641</v>
      </c>
      <c r="J107" s="14" t="s">
        <v>642</v>
      </c>
      <c r="K107" s="10" t="s">
        <v>643</v>
      </c>
      <c r="L107" s="11">
        <v>720000</v>
      </c>
      <c r="M107" s="11">
        <v>620000</v>
      </c>
      <c r="N107" s="11"/>
      <c r="O107" s="11">
        <f t="shared" si="6"/>
        <v>100000</v>
      </c>
      <c r="P107" s="12">
        <f t="shared" si="7"/>
        <v>0.1388888888888889</v>
      </c>
    </row>
    <row r="108" spans="1:16">
      <c r="A108" s="33">
        <v>104</v>
      </c>
      <c r="B108" s="50" t="s">
        <v>846</v>
      </c>
      <c r="C108" s="51" t="s">
        <v>785</v>
      </c>
      <c r="D108" s="10"/>
      <c r="E108" s="10"/>
      <c r="F108" s="10"/>
      <c r="G108" s="10"/>
      <c r="H108" s="10" t="s">
        <v>62</v>
      </c>
      <c r="I108" s="10"/>
      <c r="J108" s="14" t="s">
        <v>644</v>
      </c>
      <c r="K108" s="10"/>
      <c r="L108" s="11">
        <v>0</v>
      </c>
      <c r="M108" s="11">
        <v>50000</v>
      </c>
      <c r="N108" s="11"/>
      <c r="O108" s="11">
        <f t="shared" si="6"/>
        <v>-50000</v>
      </c>
      <c r="P108" s="12">
        <f t="shared" si="7"/>
        <v>0</v>
      </c>
    </row>
    <row r="109" spans="1:16">
      <c r="A109" s="33">
        <v>105</v>
      </c>
      <c r="B109" s="50" t="s">
        <v>848</v>
      </c>
      <c r="C109" s="51" t="s">
        <v>777</v>
      </c>
      <c r="D109" s="10" t="s">
        <v>645</v>
      </c>
      <c r="E109" s="10"/>
      <c r="F109" s="10" t="s">
        <v>646</v>
      </c>
      <c r="G109" s="10" t="s">
        <v>647</v>
      </c>
      <c r="H109" s="10" t="s">
        <v>648</v>
      </c>
      <c r="I109" s="10" t="s">
        <v>649</v>
      </c>
      <c r="J109" s="14" t="s">
        <v>650</v>
      </c>
      <c r="K109" s="10" t="s">
        <v>199</v>
      </c>
      <c r="L109" s="11">
        <v>390000</v>
      </c>
      <c r="M109" s="11">
        <v>360000</v>
      </c>
      <c r="N109" s="11"/>
      <c r="O109" s="11">
        <f t="shared" si="6"/>
        <v>30000</v>
      </c>
      <c r="P109" s="12">
        <f t="shared" si="7"/>
        <v>7.6923076923076927E-2</v>
      </c>
    </row>
    <row r="110" spans="1:16">
      <c r="A110" s="33">
        <v>106</v>
      </c>
      <c r="B110" s="50" t="s">
        <v>846</v>
      </c>
      <c r="C110" s="51" t="s">
        <v>814</v>
      </c>
      <c r="D110" s="10" t="s">
        <v>651</v>
      </c>
      <c r="E110" s="10"/>
      <c r="F110" s="10" t="s">
        <v>591</v>
      </c>
      <c r="G110" s="10" t="s">
        <v>652</v>
      </c>
      <c r="H110" s="10" t="s">
        <v>141</v>
      </c>
      <c r="I110" s="10" t="s">
        <v>653</v>
      </c>
      <c r="J110" s="29" t="s">
        <v>654</v>
      </c>
      <c r="K110" s="10" t="s">
        <v>655</v>
      </c>
      <c r="L110" s="11">
        <v>600000</v>
      </c>
      <c r="M110" s="11">
        <v>570000</v>
      </c>
      <c r="N110" s="11"/>
      <c r="O110" s="11">
        <f t="shared" si="6"/>
        <v>30000</v>
      </c>
      <c r="P110" s="12">
        <f t="shared" si="7"/>
        <v>0.05</v>
      </c>
    </row>
    <row r="111" spans="1:16">
      <c r="A111" s="33">
        <v>107</v>
      </c>
      <c r="B111" s="50" t="s">
        <v>846</v>
      </c>
      <c r="C111" s="51" t="s">
        <v>777</v>
      </c>
      <c r="D111" s="10" t="s">
        <v>656</v>
      </c>
      <c r="E111" s="10"/>
      <c r="F111" s="10" t="s">
        <v>657</v>
      </c>
      <c r="G111" s="10" t="s">
        <v>658</v>
      </c>
      <c r="H111" s="10" t="s">
        <v>659</v>
      </c>
      <c r="I111" s="10" t="s">
        <v>660</v>
      </c>
      <c r="J111" s="14" t="s">
        <v>661</v>
      </c>
      <c r="K111" s="10" t="s">
        <v>662</v>
      </c>
      <c r="L111" s="11">
        <v>580000</v>
      </c>
      <c r="M111" s="11">
        <v>550000</v>
      </c>
      <c r="N111" s="11"/>
      <c r="O111" s="11">
        <f t="shared" si="6"/>
        <v>30000</v>
      </c>
      <c r="P111" s="12">
        <f t="shared" si="7"/>
        <v>5.1724137931034482E-2</v>
      </c>
    </row>
    <row r="112" spans="1:16">
      <c r="A112" s="33">
        <v>108</v>
      </c>
      <c r="B112" s="50" t="s">
        <v>846</v>
      </c>
      <c r="C112" s="51" t="s">
        <v>785</v>
      </c>
      <c r="D112" s="10" t="s">
        <v>601</v>
      </c>
      <c r="E112" s="10"/>
      <c r="F112" s="10" t="s">
        <v>602</v>
      </c>
      <c r="G112" s="10" t="s">
        <v>663</v>
      </c>
      <c r="H112" s="10" t="s">
        <v>664</v>
      </c>
      <c r="I112" s="10" t="s">
        <v>665</v>
      </c>
      <c r="J112" s="14" t="s">
        <v>666</v>
      </c>
      <c r="K112" s="10" t="s">
        <v>667</v>
      </c>
      <c r="L112" s="11">
        <v>630000</v>
      </c>
      <c r="M112" s="11">
        <v>580000</v>
      </c>
      <c r="N112" s="11"/>
      <c r="O112" s="11">
        <f t="shared" si="6"/>
        <v>50000</v>
      </c>
      <c r="P112" s="12">
        <f t="shared" si="7"/>
        <v>7.9365079365079361E-2</v>
      </c>
    </row>
    <row r="113" spans="1:16">
      <c r="A113" s="33">
        <v>109</v>
      </c>
      <c r="B113" s="50" t="s">
        <v>846</v>
      </c>
      <c r="C113" s="51" t="s">
        <v>777</v>
      </c>
      <c r="D113" s="10" t="s">
        <v>668</v>
      </c>
      <c r="E113" s="10"/>
      <c r="F113" s="10" t="s">
        <v>669</v>
      </c>
      <c r="G113" s="10" t="s">
        <v>670</v>
      </c>
      <c r="H113" s="10" t="s">
        <v>671</v>
      </c>
      <c r="I113" s="10" t="s">
        <v>672</v>
      </c>
      <c r="J113" s="14" t="s">
        <v>673</v>
      </c>
      <c r="K113" s="10" t="s">
        <v>674</v>
      </c>
      <c r="L113" s="11">
        <v>750000</v>
      </c>
      <c r="M113" s="11">
        <v>720000</v>
      </c>
      <c r="N113" s="11"/>
      <c r="O113" s="11">
        <f t="shared" si="6"/>
        <v>30000</v>
      </c>
      <c r="P113" s="12">
        <f t="shared" si="7"/>
        <v>0.04</v>
      </c>
    </row>
    <row r="114" spans="1:16">
      <c r="A114" s="33">
        <v>110</v>
      </c>
      <c r="B114" s="50" t="s">
        <v>832</v>
      </c>
      <c r="C114" s="51" t="s">
        <v>777</v>
      </c>
      <c r="D114" s="10" t="s">
        <v>17</v>
      </c>
      <c r="E114" s="10"/>
      <c r="F114" s="10" t="s">
        <v>676</v>
      </c>
      <c r="G114" s="10" t="s">
        <v>677</v>
      </c>
      <c r="H114" s="10" t="s">
        <v>678</v>
      </c>
      <c r="I114" s="10" t="s">
        <v>679</v>
      </c>
      <c r="J114" s="14" t="s">
        <v>680</v>
      </c>
      <c r="K114" s="10" t="s">
        <v>681</v>
      </c>
      <c r="L114" s="11">
        <v>630000</v>
      </c>
      <c r="M114" s="11">
        <v>600000</v>
      </c>
      <c r="N114" s="11"/>
      <c r="O114" s="11">
        <f t="shared" si="6"/>
        <v>30000</v>
      </c>
      <c r="P114" s="12">
        <f t="shared" si="7"/>
        <v>4.7619047619047616E-2</v>
      </c>
    </row>
    <row r="115" spans="1:16">
      <c r="A115" s="33">
        <v>111</v>
      </c>
      <c r="B115" s="50" t="s">
        <v>849</v>
      </c>
      <c r="C115" s="51" t="s">
        <v>777</v>
      </c>
      <c r="D115" s="10" t="s">
        <v>682</v>
      </c>
      <c r="E115" s="10"/>
      <c r="F115" s="10" t="s">
        <v>683</v>
      </c>
      <c r="G115" s="10" t="s">
        <v>684</v>
      </c>
      <c r="H115" s="10" t="s">
        <v>16</v>
      </c>
      <c r="I115" s="10" t="s">
        <v>685</v>
      </c>
      <c r="J115" s="14" t="s">
        <v>686</v>
      </c>
      <c r="K115" s="10" t="s">
        <v>687</v>
      </c>
      <c r="L115" s="11">
        <v>680000</v>
      </c>
      <c r="M115" s="11">
        <v>580000</v>
      </c>
      <c r="N115" s="11"/>
      <c r="O115" s="11">
        <f t="shared" si="6"/>
        <v>100000</v>
      </c>
      <c r="P115" s="12">
        <f t="shared" si="7"/>
        <v>0.14705882352941177</v>
      </c>
    </row>
    <row r="116" spans="1:16">
      <c r="A116" s="33">
        <v>112</v>
      </c>
      <c r="B116" s="50" t="s">
        <v>849</v>
      </c>
      <c r="C116" s="51" t="s">
        <v>777</v>
      </c>
      <c r="D116" s="10"/>
      <c r="E116" s="10"/>
      <c r="F116" s="10"/>
      <c r="G116" s="10"/>
      <c r="H116" s="10" t="s">
        <v>62</v>
      </c>
      <c r="I116" s="10"/>
      <c r="J116" s="14" t="s">
        <v>688</v>
      </c>
      <c r="K116" s="10"/>
      <c r="L116" s="11">
        <v>0</v>
      </c>
      <c r="M116" s="11">
        <v>50000</v>
      </c>
      <c r="N116" s="11"/>
      <c r="O116" s="11">
        <f t="shared" si="6"/>
        <v>-50000</v>
      </c>
      <c r="P116" s="12">
        <f t="shared" si="7"/>
        <v>0</v>
      </c>
    </row>
    <row r="117" spans="1:16">
      <c r="A117" s="33">
        <v>113</v>
      </c>
      <c r="B117" s="50" t="s">
        <v>843</v>
      </c>
      <c r="C117" s="51" t="s">
        <v>785</v>
      </c>
      <c r="D117" s="10" t="s">
        <v>689</v>
      </c>
      <c r="E117" s="10"/>
      <c r="F117" s="10" t="s">
        <v>690</v>
      </c>
      <c r="G117" s="10" t="s">
        <v>691</v>
      </c>
      <c r="H117" s="10" t="s">
        <v>16</v>
      </c>
      <c r="I117" s="10" t="s">
        <v>692</v>
      </c>
      <c r="J117" s="14" t="s">
        <v>693</v>
      </c>
      <c r="K117" s="10" t="s">
        <v>694</v>
      </c>
      <c r="L117" s="11">
        <v>500000</v>
      </c>
      <c r="M117" s="11">
        <v>280000</v>
      </c>
      <c r="N117" s="11"/>
      <c r="O117" s="11">
        <f t="shared" si="6"/>
        <v>220000</v>
      </c>
      <c r="P117" s="12">
        <f t="shared" si="7"/>
        <v>0.44</v>
      </c>
    </row>
    <row r="118" spans="1:16">
      <c r="A118" s="33">
        <v>114</v>
      </c>
      <c r="B118" s="50" t="s">
        <v>850</v>
      </c>
      <c r="C118" s="51" t="s">
        <v>785</v>
      </c>
      <c r="D118" s="10" t="s">
        <v>695</v>
      </c>
      <c r="E118" s="10"/>
      <c r="F118" s="10" t="s">
        <v>591</v>
      </c>
      <c r="G118" s="10" t="s">
        <v>696</v>
      </c>
      <c r="H118" s="10" t="s">
        <v>503</v>
      </c>
      <c r="I118" s="10" t="s">
        <v>504</v>
      </c>
      <c r="J118" s="14" t="s">
        <v>697</v>
      </c>
      <c r="K118" s="10" t="s">
        <v>698</v>
      </c>
      <c r="L118" s="11">
        <v>590000</v>
      </c>
      <c r="M118" s="11">
        <v>550000</v>
      </c>
      <c r="N118" s="11"/>
      <c r="O118" s="11">
        <f t="shared" si="6"/>
        <v>40000</v>
      </c>
      <c r="P118" s="12">
        <f t="shared" si="7"/>
        <v>6.7796610169491525E-2</v>
      </c>
    </row>
    <row r="119" spans="1:16">
      <c r="A119" s="33">
        <v>115</v>
      </c>
      <c r="B119" s="50" t="s">
        <v>851</v>
      </c>
      <c r="C119" s="51" t="s">
        <v>814</v>
      </c>
      <c r="D119" s="10" t="s">
        <v>699</v>
      </c>
      <c r="E119" s="10"/>
      <c r="F119" s="10" t="s">
        <v>657</v>
      </c>
      <c r="G119" s="10" t="s">
        <v>700</v>
      </c>
      <c r="H119" s="10" t="s">
        <v>701</v>
      </c>
      <c r="I119" s="10" t="s">
        <v>702</v>
      </c>
      <c r="J119" s="29" t="s">
        <v>703</v>
      </c>
      <c r="K119" s="10" t="s">
        <v>704</v>
      </c>
      <c r="L119" s="11">
        <v>580000</v>
      </c>
      <c r="M119" s="11">
        <v>550000</v>
      </c>
      <c r="N119" s="11"/>
      <c r="O119" s="11">
        <f t="shared" si="6"/>
        <v>30000</v>
      </c>
      <c r="P119" s="12">
        <f t="shared" si="7"/>
        <v>5.1724137931034482E-2</v>
      </c>
    </row>
    <row r="120" spans="1:16">
      <c r="A120" s="33">
        <v>116</v>
      </c>
      <c r="B120" s="50" t="s">
        <v>814</v>
      </c>
      <c r="C120" s="51" t="s">
        <v>777</v>
      </c>
      <c r="D120" s="10" t="s">
        <v>151</v>
      </c>
      <c r="E120" s="10"/>
      <c r="F120" s="10" t="s">
        <v>591</v>
      </c>
      <c r="G120" s="10" t="s">
        <v>705</v>
      </c>
      <c r="H120" s="10" t="s">
        <v>16</v>
      </c>
      <c r="I120" s="10" t="s">
        <v>706</v>
      </c>
      <c r="J120" s="14" t="s">
        <v>707</v>
      </c>
      <c r="K120" s="10" t="s">
        <v>526</v>
      </c>
      <c r="L120" s="11">
        <v>690000</v>
      </c>
      <c r="M120" s="11">
        <v>600000</v>
      </c>
      <c r="N120" s="11"/>
      <c r="O120" s="11">
        <f t="shared" si="6"/>
        <v>90000</v>
      </c>
      <c r="P120" s="12">
        <f t="shared" si="7"/>
        <v>0.13043478260869565</v>
      </c>
    </row>
    <row r="121" spans="1:16">
      <c r="A121" s="33">
        <v>117</v>
      </c>
      <c r="B121" s="50" t="s">
        <v>814</v>
      </c>
      <c r="C121" s="51" t="s">
        <v>777</v>
      </c>
      <c r="D121" s="10"/>
      <c r="E121" s="10"/>
      <c r="F121" s="10"/>
      <c r="G121" s="10"/>
      <c r="H121" s="10" t="s">
        <v>708</v>
      </c>
      <c r="I121" s="10"/>
      <c r="J121" s="14" t="s">
        <v>709</v>
      </c>
      <c r="K121" s="10"/>
      <c r="L121" s="11">
        <v>0</v>
      </c>
      <c r="M121" s="11">
        <v>50000</v>
      </c>
      <c r="N121" s="11"/>
      <c r="O121" s="11">
        <f t="shared" si="6"/>
        <v>-50000</v>
      </c>
      <c r="P121" s="12">
        <f t="shared" si="7"/>
        <v>0</v>
      </c>
    </row>
    <row r="122" spans="1:16">
      <c r="A122" s="33">
        <v>118</v>
      </c>
      <c r="B122" s="50" t="s">
        <v>851</v>
      </c>
      <c r="C122" s="51" t="s">
        <v>814</v>
      </c>
      <c r="D122" s="10" t="s">
        <v>710</v>
      </c>
      <c r="E122" s="10" t="s">
        <v>711</v>
      </c>
      <c r="F122" s="10" t="s">
        <v>712</v>
      </c>
      <c r="G122" s="10" t="s">
        <v>713</v>
      </c>
      <c r="H122" s="10" t="s">
        <v>714</v>
      </c>
      <c r="I122" s="10" t="s">
        <v>715</v>
      </c>
      <c r="J122" s="29" t="s">
        <v>716</v>
      </c>
      <c r="K122" s="10" t="s">
        <v>717</v>
      </c>
      <c r="L122" s="11">
        <v>680000</v>
      </c>
      <c r="M122" s="11">
        <v>630000</v>
      </c>
      <c r="N122" s="11"/>
      <c r="O122" s="11">
        <f t="shared" si="6"/>
        <v>50000</v>
      </c>
      <c r="P122" s="12">
        <f t="shared" si="7"/>
        <v>7.3529411764705885E-2</v>
      </c>
    </row>
    <row r="123" spans="1:16">
      <c r="A123" s="33">
        <v>119</v>
      </c>
      <c r="B123" s="50" t="s">
        <v>839</v>
      </c>
      <c r="C123" s="51" t="s">
        <v>777</v>
      </c>
      <c r="D123" s="10" t="s">
        <v>17</v>
      </c>
      <c r="E123" s="10"/>
      <c r="F123" s="10" t="s">
        <v>722</v>
      </c>
      <c r="G123" s="10" t="s">
        <v>723</v>
      </c>
      <c r="H123" s="10" t="s">
        <v>724</v>
      </c>
      <c r="I123" s="10" t="s">
        <v>725</v>
      </c>
      <c r="J123" s="14" t="s">
        <v>726</v>
      </c>
      <c r="K123" s="10" t="s">
        <v>727</v>
      </c>
      <c r="L123" s="11">
        <v>720000</v>
      </c>
      <c r="M123" s="11">
        <v>680000</v>
      </c>
      <c r="N123" s="11"/>
      <c r="O123" s="11">
        <f t="shared" si="6"/>
        <v>40000</v>
      </c>
      <c r="P123" s="12">
        <f t="shared" si="7"/>
        <v>5.5555555555555552E-2</v>
      </c>
    </row>
    <row r="124" spans="1:16">
      <c r="A124" s="33">
        <v>120</v>
      </c>
      <c r="B124" s="50" t="s">
        <v>852</v>
      </c>
      <c r="C124" s="51" t="s">
        <v>777</v>
      </c>
      <c r="D124" s="10" t="s">
        <v>735</v>
      </c>
      <c r="E124" s="10"/>
      <c r="F124" s="10" t="s">
        <v>736</v>
      </c>
      <c r="G124" s="10" t="s">
        <v>737</v>
      </c>
      <c r="H124" s="10" t="s">
        <v>738</v>
      </c>
      <c r="I124" s="10" t="s">
        <v>739</v>
      </c>
      <c r="J124" s="14" t="s">
        <v>740</v>
      </c>
      <c r="K124" s="10" t="s">
        <v>741</v>
      </c>
      <c r="L124" s="11">
        <v>600000</v>
      </c>
      <c r="M124" s="11">
        <v>570000</v>
      </c>
      <c r="N124" s="11"/>
      <c r="O124" s="11">
        <f t="shared" si="6"/>
        <v>30000</v>
      </c>
      <c r="P124" s="12">
        <f t="shared" si="7"/>
        <v>0.05</v>
      </c>
    </row>
    <row r="125" spans="1:16">
      <c r="A125" s="33">
        <v>121</v>
      </c>
      <c r="B125" s="50" t="s">
        <v>853</v>
      </c>
      <c r="C125" s="51" t="s">
        <v>785</v>
      </c>
      <c r="D125" s="10" t="s">
        <v>742</v>
      </c>
      <c r="E125" s="10"/>
      <c r="F125" s="10" t="s">
        <v>743</v>
      </c>
      <c r="G125" s="10" t="s">
        <v>744</v>
      </c>
      <c r="H125" s="10" t="s">
        <v>16</v>
      </c>
      <c r="I125" s="10" t="s">
        <v>745</v>
      </c>
      <c r="J125" s="14" t="s">
        <v>746</v>
      </c>
      <c r="K125" s="10" t="s">
        <v>350</v>
      </c>
      <c r="L125" s="11">
        <v>670000</v>
      </c>
      <c r="M125" s="11">
        <v>570000</v>
      </c>
      <c r="N125" s="11"/>
      <c r="O125" s="11">
        <f t="shared" si="6"/>
        <v>100000</v>
      </c>
      <c r="P125" s="12">
        <f t="shared" si="7"/>
        <v>0.14925373134328357</v>
      </c>
    </row>
    <row r="126" spans="1:16">
      <c r="A126" s="33">
        <v>122</v>
      </c>
      <c r="B126" s="50" t="s">
        <v>853</v>
      </c>
      <c r="C126" s="51" t="s">
        <v>785</v>
      </c>
      <c r="D126" s="10"/>
      <c r="E126" s="10"/>
      <c r="F126" s="10"/>
      <c r="G126" s="10"/>
      <c r="H126" s="10" t="s">
        <v>62</v>
      </c>
      <c r="I126" s="10"/>
      <c r="J126" s="14" t="s">
        <v>747</v>
      </c>
      <c r="K126" s="10"/>
      <c r="L126" s="11">
        <v>0</v>
      </c>
      <c r="M126" s="11">
        <v>50000</v>
      </c>
      <c r="N126" s="11"/>
      <c r="O126" s="11">
        <f t="shared" si="6"/>
        <v>-50000</v>
      </c>
      <c r="P126" s="12">
        <f t="shared" si="7"/>
        <v>0</v>
      </c>
    </row>
    <row r="127" spans="1:16">
      <c r="A127" s="33">
        <v>123</v>
      </c>
      <c r="B127" s="50" t="s">
        <v>854</v>
      </c>
      <c r="C127" s="51" t="s">
        <v>777</v>
      </c>
      <c r="D127" s="10" t="s">
        <v>748</v>
      </c>
      <c r="E127" s="10"/>
      <c r="F127" s="10" t="s">
        <v>310</v>
      </c>
      <c r="G127" s="10" t="s">
        <v>311</v>
      </c>
      <c r="H127" s="10" t="s">
        <v>749</v>
      </c>
      <c r="I127" s="10" t="s">
        <v>750</v>
      </c>
      <c r="J127" s="14" t="s">
        <v>751</v>
      </c>
      <c r="K127" s="10" t="s">
        <v>752</v>
      </c>
      <c r="L127" s="11">
        <v>800000</v>
      </c>
      <c r="M127" s="11">
        <v>750000</v>
      </c>
      <c r="N127" s="11"/>
      <c r="O127" s="11">
        <f t="shared" si="6"/>
        <v>50000</v>
      </c>
      <c r="P127" s="12">
        <f t="shared" si="7"/>
        <v>6.25E-2</v>
      </c>
    </row>
    <row r="128" spans="1:16">
      <c r="A128" s="33">
        <v>124</v>
      </c>
      <c r="B128" s="50" t="s">
        <v>852</v>
      </c>
      <c r="C128" s="51" t="s">
        <v>785</v>
      </c>
      <c r="D128" s="10" t="s">
        <v>753</v>
      </c>
      <c r="E128" s="10"/>
      <c r="F128" s="10" t="s">
        <v>754</v>
      </c>
      <c r="G128" s="10" t="s">
        <v>755</v>
      </c>
      <c r="H128" s="10" t="s">
        <v>756</v>
      </c>
      <c r="I128" s="10" t="s">
        <v>757</v>
      </c>
      <c r="J128" s="14" t="s">
        <v>758</v>
      </c>
      <c r="K128" s="10" t="s">
        <v>759</v>
      </c>
      <c r="L128" s="11">
        <v>680000</v>
      </c>
      <c r="M128" s="11">
        <v>650000</v>
      </c>
      <c r="N128" s="11"/>
      <c r="O128" s="11">
        <f t="shared" si="6"/>
        <v>30000</v>
      </c>
      <c r="P128" s="12">
        <f t="shared" si="7"/>
        <v>4.4117647058823532E-2</v>
      </c>
    </row>
    <row r="129" spans="1:16">
      <c r="A129" s="33">
        <v>125</v>
      </c>
      <c r="B129" s="50" t="s">
        <v>852</v>
      </c>
      <c r="C129" s="51" t="s">
        <v>777</v>
      </c>
      <c r="D129" s="10" t="s">
        <v>760</v>
      </c>
      <c r="E129" s="10"/>
      <c r="F129" s="10" t="s">
        <v>761</v>
      </c>
      <c r="G129" s="10" t="s">
        <v>762</v>
      </c>
      <c r="H129" s="10" t="s">
        <v>763</v>
      </c>
      <c r="I129" s="10" t="s">
        <v>764</v>
      </c>
      <c r="J129" s="14" t="s">
        <v>765</v>
      </c>
      <c r="K129" s="10" t="s">
        <v>766</v>
      </c>
      <c r="L129" s="11">
        <v>540000</v>
      </c>
      <c r="M129" s="11">
        <v>510000</v>
      </c>
      <c r="N129" s="11"/>
      <c r="O129" s="11">
        <f t="shared" si="6"/>
        <v>30000</v>
      </c>
      <c r="P129" s="12">
        <f t="shared" si="7"/>
        <v>5.5555555555555552E-2</v>
      </c>
    </row>
    <row r="130" spans="1:16">
      <c r="A130" s="33">
        <v>126</v>
      </c>
      <c r="B130" s="52" t="s">
        <v>852</v>
      </c>
      <c r="C130" s="53" t="s">
        <v>777</v>
      </c>
      <c r="D130" s="3" t="s">
        <v>767</v>
      </c>
      <c r="E130" s="3"/>
      <c r="F130" s="3" t="s">
        <v>768</v>
      </c>
      <c r="G130" s="3" t="s">
        <v>769</v>
      </c>
      <c r="H130" s="3" t="s">
        <v>770</v>
      </c>
      <c r="I130" s="3" t="s">
        <v>771</v>
      </c>
      <c r="J130" s="46" t="s">
        <v>772</v>
      </c>
      <c r="K130" s="10" t="s">
        <v>773</v>
      </c>
      <c r="L130" s="11">
        <v>730000</v>
      </c>
      <c r="M130" s="11">
        <v>700000</v>
      </c>
      <c r="N130" s="11"/>
      <c r="O130" s="11">
        <f t="shared" si="6"/>
        <v>30000</v>
      </c>
      <c r="P130" s="12">
        <f t="shared" si="7"/>
        <v>4.1095890410958902E-2</v>
      </c>
    </row>
    <row r="131" spans="1:16">
      <c r="K131" s="4" t="s">
        <v>13</v>
      </c>
      <c r="L131" s="5">
        <f>SUM(L5:L130)-SUM(0)</f>
        <v>63555000</v>
      </c>
      <c r="M131" s="5">
        <f>SUM(M5:M130)-SUM(0)</f>
        <v>56235000</v>
      </c>
      <c r="N131" s="5">
        <f>SUM(N5:N130)-SUM(0)</f>
        <v>0</v>
      </c>
      <c r="O131" s="5">
        <f>SUM(O5:O130)-SUM(0)</f>
        <v>7320000</v>
      </c>
      <c r="P131" s="6">
        <f>O131/L131</f>
        <v>0.11517583195657305</v>
      </c>
    </row>
    <row r="133" spans="1:16">
      <c r="L133" s="39" t="s">
        <v>19</v>
      </c>
      <c r="M133" s="39">
        <f>L131/M135</f>
        <v>504404.76190476189</v>
      </c>
    </row>
    <row r="134" spans="1:16">
      <c r="L134" s="39" t="s">
        <v>20</v>
      </c>
      <c r="M134" s="39">
        <f>O131/M135</f>
        <v>58095.238095238092</v>
      </c>
    </row>
    <row r="135" spans="1:16">
      <c r="L135" s="39" t="s">
        <v>21</v>
      </c>
      <c r="M135" s="41">
        <v>126</v>
      </c>
    </row>
    <row r="136" spans="1:16">
      <c r="L136" s="44" t="s">
        <v>728</v>
      </c>
      <c r="M136" s="45">
        <v>29</v>
      </c>
    </row>
    <row r="137" spans="1:16">
      <c r="L137" s="15" t="s">
        <v>729</v>
      </c>
      <c r="M137" s="42">
        <v>5</v>
      </c>
    </row>
    <row r="138" spans="1:16">
      <c r="L138" s="15" t="s">
        <v>730</v>
      </c>
      <c r="M138" s="42">
        <v>13</v>
      </c>
    </row>
    <row r="139" spans="1:16">
      <c r="L139" s="15" t="s">
        <v>675</v>
      </c>
      <c r="M139" s="42">
        <f>M138-M137</f>
        <v>8</v>
      </c>
    </row>
    <row r="140" spans="1:16">
      <c r="K140" s="33"/>
      <c r="L140" s="15" t="s">
        <v>731</v>
      </c>
      <c r="M140" s="43" t="s">
        <v>774</v>
      </c>
      <c r="N140" s="33"/>
      <c r="O140" s="33"/>
    </row>
    <row r="141" spans="1:16">
      <c r="K141" s="33"/>
      <c r="L141" s="15" t="s">
        <v>732</v>
      </c>
      <c r="M141" s="43" t="s">
        <v>775</v>
      </c>
      <c r="N141" s="33"/>
      <c r="O141" s="33"/>
    </row>
    <row r="142" spans="1:16">
      <c r="L142" s="15" t="s">
        <v>733</v>
      </c>
      <c r="M142" s="43">
        <v>0.75</v>
      </c>
    </row>
    <row r="143" spans="1:16">
      <c r="L143" s="39" t="s">
        <v>734</v>
      </c>
      <c r="M143" s="42">
        <v>1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1_Click">
                <anchor moveWithCells="1" sizeWithCells="1">
                  <from>
                    <xdr:col>16</xdr:col>
                    <xdr:colOff>219075</xdr:colOff>
                    <xdr:row>11</xdr:row>
                    <xdr:rowOff>0</xdr:rowOff>
                  </from>
                  <to>
                    <xdr:col>19</xdr:col>
                    <xdr:colOff>85725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S19"/>
  <sheetViews>
    <sheetView topLeftCell="F1" zoomScaleNormal="100" workbookViewId="0">
      <pane ySplit="4" topLeftCell="A5" activePane="bottomLeft" state="frozen"/>
      <selection pane="bottomLeft" activeCell="F5" sqref="F5:F13"/>
    </sheetView>
  </sheetViews>
  <sheetFormatPr defaultRowHeight="13.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</cols>
  <sheetData>
    <row r="4" spans="1:19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9" t="s">
        <v>12</v>
      </c>
      <c r="Q4" s="16" t="s">
        <v>37</v>
      </c>
      <c r="R4" s="19" t="s">
        <v>38</v>
      </c>
      <c r="S4" s="20" t="s">
        <v>39</v>
      </c>
    </row>
    <row r="5" spans="1:19">
      <c r="A5">
        <v>5</v>
      </c>
      <c r="B5" s="50" t="s">
        <v>794</v>
      </c>
      <c r="C5" s="51" t="s">
        <v>855</v>
      </c>
      <c r="D5" s="10" t="s">
        <v>128</v>
      </c>
      <c r="E5" s="10"/>
      <c r="F5" s="10" t="s">
        <v>167</v>
      </c>
      <c r="G5" s="10" t="s">
        <v>168</v>
      </c>
      <c r="H5" s="10" t="s">
        <v>165</v>
      </c>
      <c r="I5" s="10" t="s">
        <v>166</v>
      </c>
      <c r="J5" s="14" t="s">
        <v>169</v>
      </c>
      <c r="K5" s="10" t="s">
        <v>170</v>
      </c>
      <c r="L5" s="11">
        <v>450000</v>
      </c>
      <c r="M5" s="11">
        <v>420000</v>
      </c>
      <c r="N5" s="11"/>
      <c r="O5" s="11">
        <f t="shared" ref="O5:O13" si="0">L5-M5-N5</f>
        <v>30000</v>
      </c>
      <c r="P5" s="12">
        <f t="shared" ref="P5:P13" si="1">IF(VALUE(L5)&lt;=0,0,O5/L5)</f>
        <v>6.6666666666666666E-2</v>
      </c>
      <c r="Q5" s="28">
        <v>1</v>
      </c>
      <c r="R5" s="27">
        <f t="shared" ref="R5:R13" si="2">L5*Q5</f>
        <v>450000</v>
      </c>
      <c r="S5" s="21">
        <f t="shared" ref="S5:S13" si="3">Q5*O5</f>
        <v>30000</v>
      </c>
    </row>
    <row r="6" spans="1:19">
      <c r="A6">
        <v>8</v>
      </c>
      <c r="B6" s="50" t="s">
        <v>796</v>
      </c>
      <c r="C6" s="51" t="s">
        <v>856</v>
      </c>
      <c r="D6" s="10" t="s">
        <v>178</v>
      </c>
      <c r="E6" s="10" t="s">
        <v>179</v>
      </c>
      <c r="F6" s="10" t="s">
        <v>180</v>
      </c>
      <c r="G6" s="10" t="s">
        <v>116</v>
      </c>
      <c r="H6" s="10" t="s">
        <v>16</v>
      </c>
      <c r="I6" s="10" t="s">
        <v>70</v>
      </c>
      <c r="J6" s="14" t="s">
        <v>181</v>
      </c>
      <c r="K6" s="10" t="s">
        <v>23</v>
      </c>
      <c r="L6" s="11">
        <v>610000</v>
      </c>
      <c r="M6" s="11">
        <v>500000</v>
      </c>
      <c r="N6" s="11"/>
      <c r="O6" s="11">
        <f t="shared" si="0"/>
        <v>110000</v>
      </c>
      <c r="P6" s="12">
        <f t="shared" si="1"/>
        <v>0.18032786885245902</v>
      </c>
      <c r="Q6" s="28">
        <v>0.5</v>
      </c>
      <c r="R6" s="27">
        <f t="shared" si="2"/>
        <v>305000</v>
      </c>
      <c r="S6" s="21">
        <f t="shared" si="3"/>
        <v>55000</v>
      </c>
    </row>
    <row r="7" spans="1:19">
      <c r="A7">
        <v>9</v>
      </c>
      <c r="B7" s="50" t="s">
        <v>798</v>
      </c>
      <c r="C7" s="51" t="s">
        <v>857</v>
      </c>
      <c r="D7" s="10"/>
      <c r="E7" s="10"/>
      <c r="F7" s="10" t="s">
        <v>196</v>
      </c>
      <c r="G7" s="10" t="s">
        <v>197</v>
      </c>
      <c r="H7" s="10" t="s">
        <v>16</v>
      </c>
      <c r="I7" s="10" t="s">
        <v>22</v>
      </c>
      <c r="J7" s="14" t="s">
        <v>198</v>
      </c>
      <c r="K7" s="10" t="s">
        <v>199</v>
      </c>
      <c r="L7" s="11">
        <v>370000</v>
      </c>
      <c r="M7" s="11">
        <v>200000</v>
      </c>
      <c r="N7" s="11"/>
      <c r="O7" s="11">
        <f t="shared" si="0"/>
        <v>170000</v>
      </c>
      <c r="P7" s="12">
        <f t="shared" si="1"/>
        <v>0.45945945945945948</v>
      </c>
      <c r="Q7" s="28">
        <v>0.5</v>
      </c>
      <c r="R7" s="27">
        <f t="shared" si="2"/>
        <v>185000</v>
      </c>
      <c r="S7" s="21">
        <f t="shared" si="3"/>
        <v>85000</v>
      </c>
    </row>
    <row r="8" spans="1:19">
      <c r="A8">
        <v>10</v>
      </c>
      <c r="B8" s="50" t="s">
        <v>799</v>
      </c>
      <c r="C8" s="51" t="s">
        <v>858</v>
      </c>
      <c r="D8" s="10" t="s">
        <v>209</v>
      </c>
      <c r="E8" s="10"/>
      <c r="F8" s="10" t="s">
        <v>210</v>
      </c>
      <c r="G8" s="10" t="s">
        <v>211</v>
      </c>
      <c r="H8" s="10" t="s">
        <v>165</v>
      </c>
      <c r="I8" s="10" t="s">
        <v>212</v>
      </c>
      <c r="J8" s="14" t="s">
        <v>213</v>
      </c>
      <c r="K8" s="10" t="s">
        <v>214</v>
      </c>
      <c r="L8" s="11">
        <v>610000</v>
      </c>
      <c r="M8" s="11">
        <v>590000</v>
      </c>
      <c r="N8" s="11"/>
      <c r="O8" s="11">
        <f t="shared" si="0"/>
        <v>20000</v>
      </c>
      <c r="P8" s="12">
        <f t="shared" si="1"/>
        <v>3.2786885245901641E-2</v>
      </c>
      <c r="Q8" s="28">
        <v>0.5</v>
      </c>
      <c r="R8" s="27">
        <f t="shared" si="2"/>
        <v>305000</v>
      </c>
      <c r="S8" s="21">
        <f t="shared" si="3"/>
        <v>10000</v>
      </c>
    </row>
    <row r="9" spans="1:19">
      <c r="A9">
        <v>16</v>
      </c>
      <c r="B9" s="50" t="s">
        <v>821</v>
      </c>
      <c r="C9" s="51" t="s">
        <v>859</v>
      </c>
      <c r="D9" s="10" t="s">
        <v>209</v>
      </c>
      <c r="E9" s="10"/>
      <c r="F9" s="10" t="s">
        <v>360</v>
      </c>
      <c r="G9" s="10" t="s">
        <v>361</v>
      </c>
      <c r="H9" s="10" t="s">
        <v>362</v>
      </c>
      <c r="I9" s="10" t="s">
        <v>363</v>
      </c>
      <c r="J9" s="14" t="s">
        <v>364</v>
      </c>
      <c r="K9" s="10" t="s">
        <v>365</v>
      </c>
      <c r="L9" s="11">
        <v>350000</v>
      </c>
      <c r="M9" s="11">
        <v>320000</v>
      </c>
      <c r="N9" s="11"/>
      <c r="O9" s="11">
        <f t="shared" si="0"/>
        <v>30000</v>
      </c>
      <c r="P9" s="12">
        <f t="shared" si="1"/>
        <v>8.5714285714285715E-2</v>
      </c>
      <c r="Q9" s="28">
        <v>0.5</v>
      </c>
      <c r="R9" s="27">
        <f t="shared" si="2"/>
        <v>175000</v>
      </c>
      <c r="S9" s="21">
        <f t="shared" si="3"/>
        <v>15000</v>
      </c>
    </row>
    <row r="10" spans="1:19">
      <c r="A10">
        <v>18</v>
      </c>
      <c r="B10" s="50" t="s">
        <v>822</v>
      </c>
      <c r="C10" s="51" t="s">
        <v>860</v>
      </c>
      <c r="D10" s="10" t="s">
        <v>71</v>
      </c>
      <c r="E10" s="10"/>
      <c r="F10" s="10" t="s">
        <v>376</v>
      </c>
      <c r="G10" s="10" t="s">
        <v>377</v>
      </c>
      <c r="H10" s="10" t="s">
        <v>371</v>
      </c>
      <c r="I10" s="10" t="s">
        <v>378</v>
      </c>
      <c r="J10" s="14" t="s">
        <v>379</v>
      </c>
      <c r="K10" s="10" t="s">
        <v>93</v>
      </c>
      <c r="L10" s="11">
        <v>600000</v>
      </c>
      <c r="M10" s="11">
        <v>550000</v>
      </c>
      <c r="N10" s="11"/>
      <c r="O10" s="11">
        <f t="shared" si="0"/>
        <v>50000</v>
      </c>
      <c r="P10" s="12">
        <f t="shared" si="1"/>
        <v>8.3333333333333329E-2</v>
      </c>
      <c r="Q10" s="28">
        <v>0.5</v>
      </c>
      <c r="R10" s="27">
        <f t="shared" si="2"/>
        <v>300000</v>
      </c>
      <c r="S10" s="21">
        <f t="shared" si="3"/>
        <v>25000</v>
      </c>
    </row>
    <row r="11" spans="1:19">
      <c r="A11">
        <v>19</v>
      </c>
      <c r="B11" s="50" t="s">
        <v>826</v>
      </c>
      <c r="C11" s="51" t="s">
        <v>861</v>
      </c>
      <c r="D11" s="10" t="s">
        <v>419</v>
      </c>
      <c r="E11" s="10" t="s">
        <v>323</v>
      </c>
      <c r="F11" s="10" t="s">
        <v>321</v>
      </c>
      <c r="G11" s="10" t="s">
        <v>324</v>
      </c>
      <c r="H11" s="10" t="s">
        <v>16</v>
      </c>
      <c r="I11" s="10" t="s">
        <v>22</v>
      </c>
      <c r="J11" s="14" t="s">
        <v>420</v>
      </c>
      <c r="K11" s="10" t="s">
        <v>421</v>
      </c>
      <c r="L11" s="11">
        <v>350000</v>
      </c>
      <c r="M11" s="11">
        <v>220000</v>
      </c>
      <c r="N11" s="11"/>
      <c r="O11" s="11">
        <f t="shared" si="0"/>
        <v>130000</v>
      </c>
      <c r="P11" s="12">
        <f t="shared" si="1"/>
        <v>0.37142857142857144</v>
      </c>
      <c r="Q11" s="28">
        <v>0.5</v>
      </c>
      <c r="R11" s="27">
        <f t="shared" si="2"/>
        <v>175000</v>
      </c>
      <c r="S11" s="21">
        <f t="shared" si="3"/>
        <v>65000</v>
      </c>
    </row>
    <row r="12" spans="1:19">
      <c r="A12">
        <v>20</v>
      </c>
      <c r="B12" s="50" t="s">
        <v>831</v>
      </c>
      <c r="C12" s="51" t="s">
        <v>862</v>
      </c>
      <c r="D12" s="10" t="s">
        <v>470</v>
      </c>
      <c r="E12" s="10"/>
      <c r="F12" s="10" t="s">
        <v>329</v>
      </c>
      <c r="G12" s="10" t="s">
        <v>471</v>
      </c>
      <c r="H12" s="10" t="s">
        <v>472</v>
      </c>
      <c r="I12" s="10" t="s">
        <v>473</v>
      </c>
      <c r="J12" s="14" t="s">
        <v>474</v>
      </c>
      <c r="K12" s="10" t="s">
        <v>475</v>
      </c>
      <c r="L12" s="11">
        <v>680000</v>
      </c>
      <c r="M12" s="11">
        <v>650000</v>
      </c>
      <c r="N12" s="11"/>
      <c r="O12" s="11">
        <f t="shared" si="0"/>
        <v>30000</v>
      </c>
      <c r="P12" s="12">
        <f t="shared" si="1"/>
        <v>4.4117647058823532E-2</v>
      </c>
      <c r="Q12" s="28">
        <v>0.5</v>
      </c>
      <c r="R12" s="27">
        <f t="shared" si="2"/>
        <v>340000</v>
      </c>
      <c r="S12" s="21">
        <f t="shared" si="3"/>
        <v>15000</v>
      </c>
    </row>
    <row r="13" spans="1:19">
      <c r="A13">
        <v>21</v>
      </c>
      <c r="B13" s="52" t="s">
        <v>832</v>
      </c>
      <c r="C13" s="53" t="s">
        <v>862</v>
      </c>
      <c r="D13" s="3" t="s">
        <v>17</v>
      </c>
      <c r="E13" s="3"/>
      <c r="F13" s="3" t="s">
        <v>481</v>
      </c>
      <c r="G13" s="3" t="s">
        <v>482</v>
      </c>
      <c r="H13" s="3" t="s">
        <v>16</v>
      </c>
      <c r="I13" s="3" t="s">
        <v>121</v>
      </c>
      <c r="J13" s="46" t="s">
        <v>483</v>
      </c>
      <c r="K13" s="10" t="s">
        <v>484</v>
      </c>
      <c r="L13" s="11">
        <v>400000</v>
      </c>
      <c r="M13" s="11">
        <v>250000</v>
      </c>
      <c r="N13" s="11"/>
      <c r="O13" s="11">
        <f t="shared" si="0"/>
        <v>150000</v>
      </c>
      <c r="P13" s="12">
        <f t="shared" si="1"/>
        <v>0.375</v>
      </c>
      <c r="Q13" s="28">
        <v>0.5</v>
      </c>
      <c r="R13" s="27">
        <f t="shared" si="2"/>
        <v>200000</v>
      </c>
      <c r="S13" s="21">
        <f t="shared" si="3"/>
        <v>75000</v>
      </c>
    </row>
    <row r="14" spans="1:19">
      <c r="K14" s="4" t="s">
        <v>13</v>
      </c>
      <c r="L14" s="5">
        <f>SUM(L5:L13)-SUM(0)</f>
        <v>4420000</v>
      </c>
      <c r="M14" s="5">
        <f>SUM(M5:M13)-SUM(0)</f>
        <v>3700000</v>
      </c>
      <c r="N14" s="5">
        <f>SUM(N5:N13)-SUM(0)</f>
        <v>0</v>
      </c>
      <c r="O14" s="5">
        <f>SUM(O5:O13)-SUM(0)</f>
        <v>720000</v>
      </c>
      <c r="P14" s="6">
        <f>O14/L14</f>
        <v>0.16289592760180996</v>
      </c>
      <c r="Q14" s="18">
        <f>SUM(Q5:Q13)-SUM(0)</f>
        <v>5</v>
      </c>
      <c r="R14" s="23">
        <f>SUM(R5:R13)-SUM(0)</f>
        <v>2435000</v>
      </c>
      <c r="S14" s="23">
        <f>SUM(S5:S13)-SUM(0)</f>
        <v>375000</v>
      </c>
    </row>
    <row r="16" spans="1:19">
      <c r="L16" s="15" t="s">
        <v>19</v>
      </c>
      <c r="M16" s="15">
        <f>R14/Q14</f>
        <v>487000</v>
      </c>
    </row>
    <row r="17" spans="12:13">
      <c r="L17" s="15" t="s">
        <v>20</v>
      </c>
      <c r="M17" s="15">
        <f>S14/Q14</f>
        <v>75000</v>
      </c>
    </row>
    <row r="18" spans="12:13">
      <c r="L18" s="15" t="s">
        <v>21</v>
      </c>
      <c r="M18" s="17">
        <f>SUM(Q14)</f>
        <v>5</v>
      </c>
    </row>
    <row r="19" spans="12:13">
      <c r="L19" s="15" t="s">
        <v>79</v>
      </c>
      <c r="M19" s="17"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S20"/>
  <sheetViews>
    <sheetView tabSelected="1" zoomScaleNormal="100" workbookViewId="0">
      <pane ySplit="4" topLeftCell="A5" activePane="bottomLeft" state="frozen"/>
      <selection pane="bottomLeft" activeCell="C8" sqref="C8"/>
    </sheetView>
  </sheetViews>
  <sheetFormatPr defaultRowHeight="13.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</cols>
  <sheetData>
    <row r="4" spans="1:19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24" t="s">
        <v>12</v>
      </c>
      <c r="Q4" s="26" t="s">
        <v>37</v>
      </c>
      <c r="R4" s="26" t="s">
        <v>38</v>
      </c>
      <c r="S4" s="20" t="s">
        <v>39</v>
      </c>
    </row>
    <row r="5" spans="1:19">
      <c r="A5">
        <v>5</v>
      </c>
      <c r="B5" s="50" t="s">
        <v>799</v>
      </c>
      <c r="C5" s="51" t="s">
        <v>858</v>
      </c>
      <c r="D5" s="10" t="s">
        <v>209</v>
      </c>
      <c r="E5" s="10"/>
      <c r="F5" s="10" t="s">
        <v>210</v>
      </c>
      <c r="G5" s="10" t="s">
        <v>211</v>
      </c>
      <c r="H5" s="10" t="s">
        <v>165</v>
      </c>
      <c r="I5" s="10" t="s">
        <v>212</v>
      </c>
      <c r="J5" s="14" t="s">
        <v>213</v>
      </c>
      <c r="K5" s="10" t="s">
        <v>214</v>
      </c>
      <c r="L5" s="11">
        <v>610000</v>
      </c>
      <c r="M5" s="11">
        <v>590000</v>
      </c>
      <c r="N5" s="11"/>
      <c r="O5" s="11">
        <f t="shared" ref="O5:O14" si="0">L5-M5-N5</f>
        <v>20000</v>
      </c>
      <c r="P5" s="12">
        <f t="shared" ref="P5:P14" si="1">IF(VALUE(L5)&lt;=0,0,O5/L5)</f>
        <v>3.2786885245901641E-2</v>
      </c>
      <c r="Q5" s="28">
        <v>0.5</v>
      </c>
      <c r="R5" s="22">
        <f t="shared" ref="R5:R14" si="2">L5*Q5</f>
        <v>305000</v>
      </c>
      <c r="S5" s="21">
        <f t="shared" ref="S5:S14" si="3">Q5*O5</f>
        <v>10000</v>
      </c>
    </row>
    <row r="6" spans="1:19">
      <c r="A6">
        <v>7</v>
      </c>
      <c r="B6" s="50" t="s">
        <v>803</v>
      </c>
      <c r="C6" s="51" t="s">
        <v>875</v>
      </c>
      <c r="D6" s="10" t="s">
        <v>238</v>
      </c>
      <c r="E6" s="10"/>
      <c r="F6" s="10" t="s">
        <v>189</v>
      </c>
      <c r="G6" s="10" t="s">
        <v>239</v>
      </c>
      <c r="H6" s="10" t="s">
        <v>62</v>
      </c>
      <c r="I6" s="10" t="s">
        <v>240</v>
      </c>
      <c r="J6" s="14" t="s">
        <v>241</v>
      </c>
      <c r="K6" s="10" t="s">
        <v>242</v>
      </c>
      <c r="L6" s="11">
        <v>730000</v>
      </c>
      <c r="M6" s="11">
        <v>700000</v>
      </c>
      <c r="N6" s="11"/>
      <c r="O6" s="11">
        <f t="shared" si="0"/>
        <v>30000</v>
      </c>
      <c r="P6" s="12">
        <f t="shared" si="1"/>
        <v>4.1095890410958902E-2</v>
      </c>
      <c r="Q6" s="28">
        <v>1</v>
      </c>
      <c r="R6" s="22">
        <f t="shared" si="2"/>
        <v>730000</v>
      </c>
      <c r="S6" s="21">
        <f t="shared" si="3"/>
        <v>30000</v>
      </c>
    </row>
    <row r="7" spans="1:19">
      <c r="A7">
        <v>9</v>
      </c>
      <c r="B7" s="50" t="s">
        <v>804</v>
      </c>
      <c r="C7" s="51" t="s">
        <v>876</v>
      </c>
      <c r="D7" s="10"/>
      <c r="E7" s="10"/>
      <c r="F7" s="10" t="s">
        <v>243</v>
      </c>
      <c r="G7" s="10" t="s">
        <v>244</v>
      </c>
      <c r="H7" s="10" t="s">
        <v>207</v>
      </c>
      <c r="I7" s="10" t="s">
        <v>112</v>
      </c>
      <c r="J7" s="14" t="s">
        <v>245</v>
      </c>
      <c r="K7" s="10" t="s">
        <v>246</v>
      </c>
      <c r="L7" s="11">
        <v>560000</v>
      </c>
      <c r="M7" s="11">
        <v>530000</v>
      </c>
      <c r="N7" s="11"/>
      <c r="O7" s="11">
        <f t="shared" si="0"/>
        <v>30000</v>
      </c>
      <c r="P7" s="12">
        <f t="shared" si="1"/>
        <v>5.3571428571428568E-2</v>
      </c>
      <c r="Q7" s="28">
        <v>0.5</v>
      </c>
      <c r="R7" s="22">
        <f t="shared" si="2"/>
        <v>280000</v>
      </c>
      <c r="S7" s="21">
        <f t="shared" si="3"/>
        <v>15000</v>
      </c>
    </row>
    <row r="8" spans="1:19">
      <c r="A8">
        <v>11</v>
      </c>
      <c r="B8" s="50" t="s">
        <v>805</v>
      </c>
      <c r="C8" s="51" t="s">
        <v>877</v>
      </c>
      <c r="D8" s="10" t="s">
        <v>254</v>
      </c>
      <c r="E8" s="10" t="s">
        <v>255</v>
      </c>
      <c r="F8" s="10" t="s">
        <v>256</v>
      </c>
      <c r="G8" s="10" t="s">
        <v>257</v>
      </c>
      <c r="H8" s="10" t="s">
        <v>258</v>
      </c>
      <c r="I8" s="14" t="s">
        <v>259</v>
      </c>
      <c r="J8" s="14" t="s">
        <v>260</v>
      </c>
      <c r="K8" s="10" t="s">
        <v>261</v>
      </c>
      <c r="L8" s="11">
        <v>650000</v>
      </c>
      <c r="M8" s="11">
        <v>620000</v>
      </c>
      <c r="N8" s="11"/>
      <c r="O8" s="11">
        <f t="shared" si="0"/>
        <v>30000</v>
      </c>
      <c r="P8" s="12">
        <f t="shared" si="1"/>
        <v>4.6153846153846156E-2</v>
      </c>
      <c r="Q8" s="28">
        <v>1</v>
      </c>
      <c r="R8" s="22">
        <f t="shared" si="2"/>
        <v>650000</v>
      </c>
      <c r="S8" s="21">
        <f t="shared" si="3"/>
        <v>30000</v>
      </c>
    </row>
    <row r="9" spans="1:19">
      <c r="A9">
        <v>13</v>
      </c>
      <c r="B9" s="50" t="s">
        <v>810</v>
      </c>
      <c r="C9" s="51" t="s">
        <v>865</v>
      </c>
      <c r="D9" s="10" t="s">
        <v>223</v>
      </c>
      <c r="E9" s="10" t="s">
        <v>283</v>
      </c>
      <c r="F9" s="10" t="s">
        <v>284</v>
      </c>
      <c r="G9" s="10" t="s">
        <v>285</v>
      </c>
      <c r="H9" s="10" t="s">
        <v>286</v>
      </c>
      <c r="I9" s="10" t="s">
        <v>287</v>
      </c>
      <c r="J9" s="14" t="s">
        <v>288</v>
      </c>
      <c r="K9" s="10" t="s">
        <v>222</v>
      </c>
      <c r="L9" s="11">
        <v>360000</v>
      </c>
      <c r="M9" s="11">
        <v>320000</v>
      </c>
      <c r="N9" s="11"/>
      <c r="O9" s="11">
        <f t="shared" si="0"/>
        <v>40000</v>
      </c>
      <c r="P9" s="12">
        <f t="shared" si="1"/>
        <v>0.1111111111111111</v>
      </c>
      <c r="Q9" s="28">
        <v>0.5</v>
      </c>
      <c r="R9" s="22">
        <f t="shared" si="2"/>
        <v>180000</v>
      </c>
      <c r="S9" s="21">
        <f t="shared" si="3"/>
        <v>20000</v>
      </c>
    </row>
    <row r="10" spans="1:19">
      <c r="A10">
        <v>18</v>
      </c>
      <c r="B10" s="50" t="s">
        <v>811</v>
      </c>
      <c r="C10" s="51" t="s">
        <v>866</v>
      </c>
      <c r="D10" s="10" t="s">
        <v>289</v>
      </c>
      <c r="E10" s="10" t="s">
        <v>290</v>
      </c>
      <c r="F10" s="10" t="s">
        <v>291</v>
      </c>
      <c r="G10" s="10" t="s">
        <v>292</v>
      </c>
      <c r="H10" s="10" t="s">
        <v>293</v>
      </c>
      <c r="I10" s="10" t="s">
        <v>294</v>
      </c>
      <c r="J10" s="14" t="s">
        <v>295</v>
      </c>
      <c r="K10" s="10" t="s">
        <v>119</v>
      </c>
      <c r="L10" s="11">
        <v>625000</v>
      </c>
      <c r="M10" s="11">
        <v>580000</v>
      </c>
      <c r="N10" s="11"/>
      <c r="O10" s="11">
        <f t="shared" si="0"/>
        <v>45000</v>
      </c>
      <c r="P10" s="12">
        <f t="shared" si="1"/>
        <v>7.1999999999999995E-2</v>
      </c>
      <c r="Q10" s="28">
        <v>0.5</v>
      </c>
      <c r="R10" s="22">
        <f t="shared" si="2"/>
        <v>312500</v>
      </c>
      <c r="S10" s="21">
        <f t="shared" si="3"/>
        <v>22500</v>
      </c>
    </row>
    <row r="11" spans="1:19">
      <c r="A11">
        <v>28</v>
      </c>
      <c r="B11" s="50" t="s">
        <v>817</v>
      </c>
      <c r="C11" s="51" t="s">
        <v>868</v>
      </c>
      <c r="D11" s="10" t="s">
        <v>115</v>
      </c>
      <c r="E11" s="10" t="s">
        <v>331</v>
      </c>
      <c r="F11" s="10" t="s">
        <v>332</v>
      </c>
      <c r="G11" s="10" t="s">
        <v>333</v>
      </c>
      <c r="H11" s="10" t="s">
        <v>118</v>
      </c>
      <c r="I11" s="10" t="s">
        <v>334</v>
      </c>
      <c r="J11" s="14" t="s">
        <v>335</v>
      </c>
      <c r="K11" s="10" t="s">
        <v>336</v>
      </c>
      <c r="L11" s="11">
        <v>650000</v>
      </c>
      <c r="M11" s="11">
        <v>600000</v>
      </c>
      <c r="N11" s="11"/>
      <c r="O11" s="11">
        <f t="shared" si="0"/>
        <v>50000</v>
      </c>
      <c r="P11" s="12">
        <f t="shared" si="1"/>
        <v>7.6923076923076927E-2</v>
      </c>
      <c r="Q11" s="28">
        <v>0.5</v>
      </c>
      <c r="R11" s="22">
        <f t="shared" si="2"/>
        <v>325000</v>
      </c>
      <c r="S11" s="21">
        <f t="shared" si="3"/>
        <v>25000</v>
      </c>
    </row>
    <row r="12" spans="1:19">
      <c r="A12">
        <v>35</v>
      </c>
      <c r="B12" s="50" t="s">
        <v>820</v>
      </c>
      <c r="C12" s="51" t="s">
        <v>859</v>
      </c>
      <c r="D12" s="10" t="s">
        <v>344</v>
      </c>
      <c r="E12" s="10"/>
      <c r="F12" s="10" t="s">
        <v>366</v>
      </c>
      <c r="G12" s="10" t="s">
        <v>367</v>
      </c>
      <c r="H12" s="10" t="s">
        <v>309</v>
      </c>
      <c r="I12" s="10" t="s">
        <v>40</v>
      </c>
      <c r="J12" s="14" t="s">
        <v>368</v>
      </c>
      <c r="K12" s="10" t="s">
        <v>369</v>
      </c>
      <c r="L12" s="11">
        <v>550000</v>
      </c>
      <c r="M12" s="11">
        <v>520000</v>
      </c>
      <c r="N12" s="11"/>
      <c r="O12" s="11">
        <f t="shared" si="0"/>
        <v>30000</v>
      </c>
      <c r="P12" s="12">
        <f t="shared" si="1"/>
        <v>5.4545454545454543E-2</v>
      </c>
      <c r="Q12" s="28">
        <v>0.5</v>
      </c>
      <c r="R12" s="22">
        <f t="shared" si="2"/>
        <v>275000</v>
      </c>
      <c r="S12" s="21">
        <f t="shared" si="3"/>
        <v>15000</v>
      </c>
    </row>
    <row r="13" spans="1:19">
      <c r="A13">
        <v>40</v>
      </c>
      <c r="B13" s="50" t="s">
        <v>822</v>
      </c>
      <c r="C13" s="51" t="s">
        <v>860</v>
      </c>
      <c r="D13" s="10" t="s">
        <v>71</v>
      </c>
      <c r="E13" s="10"/>
      <c r="F13" s="10" t="s">
        <v>376</v>
      </c>
      <c r="G13" s="10" t="s">
        <v>377</v>
      </c>
      <c r="H13" s="10" t="s">
        <v>371</v>
      </c>
      <c r="I13" s="10" t="s">
        <v>378</v>
      </c>
      <c r="J13" s="14" t="s">
        <v>379</v>
      </c>
      <c r="K13" s="10" t="s">
        <v>93</v>
      </c>
      <c r="L13" s="11">
        <v>600000</v>
      </c>
      <c r="M13" s="11">
        <v>550000</v>
      </c>
      <c r="N13" s="11"/>
      <c r="O13" s="11">
        <f t="shared" si="0"/>
        <v>50000</v>
      </c>
      <c r="P13" s="12">
        <f t="shared" si="1"/>
        <v>8.3333333333333329E-2</v>
      </c>
      <c r="Q13" s="28">
        <v>0.5</v>
      </c>
      <c r="R13" s="22">
        <f t="shared" si="2"/>
        <v>300000</v>
      </c>
      <c r="S13" s="21">
        <f t="shared" si="3"/>
        <v>25000</v>
      </c>
    </row>
    <row r="14" spans="1:19">
      <c r="A14">
        <v>44</v>
      </c>
      <c r="B14" s="52" t="s">
        <v>840</v>
      </c>
      <c r="C14" s="53" t="s">
        <v>859</v>
      </c>
      <c r="D14" s="3" t="s">
        <v>395</v>
      </c>
      <c r="E14" s="3"/>
      <c r="F14" s="3" t="s">
        <v>396</v>
      </c>
      <c r="G14" s="3" t="s">
        <v>397</v>
      </c>
      <c r="H14" s="3" t="s">
        <v>296</v>
      </c>
      <c r="I14" s="3" t="s">
        <v>398</v>
      </c>
      <c r="J14" s="46" t="s">
        <v>399</v>
      </c>
      <c r="K14" s="10" t="s">
        <v>400</v>
      </c>
      <c r="L14" s="11">
        <v>540000</v>
      </c>
      <c r="M14" s="11">
        <v>510000</v>
      </c>
      <c r="N14" s="11"/>
      <c r="O14" s="11">
        <f t="shared" si="0"/>
        <v>30000</v>
      </c>
      <c r="P14" s="12">
        <f t="shared" si="1"/>
        <v>5.5555555555555552E-2</v>
      </c>
      <c r="Q14" s="28">
        <v>0.5</v>
      </c>
      <c r="R14" s="22">
        <f t="shared" si="2"/>
        <v>270000</v>
      </c>
      <c r="S14" s="21">
        <f t="shared" si="3"/>
        <v>15000</v>
      </c>
    </row>
    <row r="15" spans="1:19">
      <c r="K15" s="4" t="s">
        <v>13</v>
      </c>
      <c r="L15" s="5">
        <f>SUM(L5:L14)-SUM(0)</f>
        <v>5875000</v>
      </c>
      <c r="M15" s="5">
        <f>SUM(M5:M14)-SUM(0)</f>
        <v>5520000</v>
      </c>
      <c r="N15" s="5">
        <f>SUM(N5:N14)-SUM(0)</f>
        <v>0</v>
      </c>
      <c r="O15" s="5">
        <f>SUM(O5:O14)-SUM(0)</f>
        <v>355000</v>
      </c>
      <c r="P15" s="25">
        <f>O15/L15</f>
        <v>6.0425531914893617E-2</v>
      </c>
      <c r="Q15" s="18">
        <f>SUM(Q5:Q14)-SUM(0)</f>
        <v>6</v>
      </c>
      <c r="R15" s="23">
        <f>SUM(R5:R14)-SUM(0)</f>
        <v>3627500</v>
      </c>
      <c r="S15" s="23">
        <f>SUM(S5:S14)-SUM(0)</f>
        <v>207500</v>
      </c>
    </row>
    <row r="17" spans="12:13">
      <c r="L17" s="15" t="s">
        <v>19</v>
      </c>
      <c r="M17" s="15">
        <f>R15/Q15</f>
        <v>604583.33333333337</v>
      </c>
    </row>
    <row r="18" spans="12:13">
      <c r="L18" s="15" t="s">
        <v>20</v>
      </c>
      <c r="M18" s="15">
        <f>S15/Q15</f>
        <v>34583.333333333336</v>
      </c>
    </row>
    <row r="19" spans="12:13">
      <c r="L19" s="15" t="s">
        <v>21</v>
      </c>
      <c r="M19" s="17">
        <f>Q15</f>
        <v>6</v>
      </c>
    </row>
    <row r="20" spans="12:13">
      <c r="L20" s="15" t="s">
        <v>79</v>
      </c>
      <c r="M20" s="17"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S66"/>
  <sheetViews>
    <sheetView zoomScaleNormal="100" workbookViewId="0">
      <pane ySplit="4" topLeftCell="A42" activePane="bottomLeft" state="frozen"/>
      <selection pane="bottomLeft" activeCell="B5" sqref="B5:B60"/>
    </sheetView>
  </sheetViews>
  <sheetFormatPr defaultRowHeight="13.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</cols>
  <sheetData>
    <row r="4" spans="1:19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24" t="s">
        <v>12</v>
      </c>
      <c r="Q4" s="26" t="s">
        <v>37</v>
      </c>
      <c r="R4" s="26" t="s">
        <v>38</v>
      </c>
      <c r="S4" s="20" t="s">
        <v>39</v>
      </c>
    </row>
    <row r="5" spans="1:19">
      <c r="A5">
        <v>1</v>
      </c>
      <c r="B5" s="50" t="s">
        <v>784</v>
      </c>
      <c r="C5" s="51" t="s">
        <v>863</v>
      </c>
      <c r="D5" s="10" t="s">
        <v>43</v>
      </c>
      <c r="E5" s="10" t="s">
        <v>83</v>
      </c>
      <c r="F5" s="10" t="s">
        <v>84</v>
      </c>
      <c r="G5" s="10" t="s">
        <v>85</v>
      </c>
      <c r="H5" s="10" t="s">
        <v>86</v>
      </c>
      <c r="I5" s="10" t="s">
        <v>87</v>
      </c>
      <c r="J5" s="14" t="s">
        <v>91</v>
      </c>
      <c r="K5" s="10" t="s">
        <v>88</v>
      </c>
      <c r="L5" s="11">
        <v>560000</v>
      </c>
      <c r="M5" s="11">
        <v>500000</v>
      </c>
      <c r="N5" s="11"/>
      <c r="O5" s="11">
        <f t="shared" ref="O5:O36" si="0">L5-M5-N5</f>
        <v>60000</v>
      </c>
      <c r="P5" s="12">
        <f t="shared" ref="P5:P36" si="1">IF(VALUE(L5)&lt;=0,0,O5/L5)</f>
        <v>0.10714285714285714</v>
      </c>
      <c r="Q5" s="28">
        <v>0.5</v>
      </c>
      <c r="R5" s="22">
        <f t="shared" ref="R5:R36" si="2">L5*Q5</f>
        <v>280000</v>
      </c>
      <c r="S5" s="21">
        <f t="shared" ref="S5:S36" si="3">Q5*O5</f>
        <v>30000</v>
      </c>
    </row>
    <row r="6" spans="1:19">
      <c r="A6">
        <v>2</v>
      </c>
      <c r="B6" s="50" t="s">
        <v>784</v>
      </c>
      <c r="C6" s="51" t="s">
        <v>863</v>
      </c>
      <c r="D6" s="10"/>
      <c r="E6" s="10"/>
      <c r="F6" s="10"/>
      <c r="G6" s="10"/>
      <c r="H6" s="10" t="s">
        <v>89</v>
      </c>
      <c r="I6" s="10" t="s">
        <v>90</v>
      </c>
      <c r="J6" s="14" t="s">
        <v>92</v>
      </c>
      <c r="K6" s="10"/>
      <c r="L6" s="11">
        <v>0</v>
      </c>
      <c r="M6" s="11">
        <v>30000</v>
      </c>
      <c r="N6" s="11"/>
      <c r="O6" s="11">
        <f t="shared" si="0"/>
        <v>-30000</v>
      </c>
      <c r="P6" s="12">
        <f t="shared" si="1"/>
        <v>0</v>
      </c>
      <c r="Q6" s="28">
        <v>0.5</v>
      </c>
      <c r="R6" s="22">
        <f t="shared" si="2"/>
        <v>0</v>
      </c>
      <c r="S6" s="21">
        <f t="shared" si="3"/>
        <v>-15000</v>
      </c>
    </row>
    <row r="7" spans="1:19">
      <c r="A7">
        <v>3</v>
      </c>
      <c r="B7" s="50" t="s">
        <v>787</v>
      </c>
      <c r="C7" s="51" t="s">
        <v>864</v>
      </c>
      <c r="D7" s="10" t="s">
        <v>122</v>
      </c>
      <c r="E7" s="10" t="s">
        <v>123</v>
      </c>
      <c r="F7" s="10" t="s">
        <v>81</v>
      </c>
      <c r="G7" s="10" t="s">
        <v>82</v>
      </c>
      <c r="H7" s="10" t="s">
        <v>124</v>
      </c>
      <c r="I7" s="10" t="s">
        <v>125</v>
      </c>
      <c r="J7" s="14" t="s">
        <v>126</v>
      </c>
      <c r="K7" s="10" t="s">
        <v>127</v>
      </c>
      <c r="L7" s="11">
        <v>640000</v>
      </c>
      <c r="M7" s="11">
        <v>600000</v>
      </c>
      <c r="N7" s="11"/>
      <c r="O7" s="11">
        <f t="shared" si="0"/>
        <v>40000</v>
      </c>
      <c r="P7" s="12">
        <f t="shared" si="1"/>
        <v>6.25E-2</v>
      </c>
      <c r="Q7" s="28">
        <v>0.5</v>
      </c>
      <c r="R7" s="22">
        <f t="shared" si="2"/>
        <v>320000</v>
      </c>
      <c r="S7" s="21">
        <f t="shared" si="3"/>
        <v>20000</v>
      </c>
    </row>
    <row r="8" spans="1:19">
      <c r="A8">
        <v>6</v>
      </c>
      <c r="B8" s="50" t="s">
        <v>796</v>
      </c>
      <c r="C8" s="51" t="s">
        <v>856</v>
      </c>
      <c r="D8" s="10" t="s">
        <v>178</v>
      </c>
      <c r="E8" s="10" t="s">
        <v>179</v>
      </c>
      <c r="F8" s="10" t="s">
        <v>180</v>
      </c>
      <c r="G8" s="10" t="s">
        <v>116</v>
      </c>
      <c r="H8" s="10" t="s">
        <v>16</v>
      </c>
      <c r="I8" s="10" t="s">
        <v>208</v>
      </c>
      <c r="J8" s="14" t="s">
        <v>181</v>
      </c>
      <c r="K8" s="10" t="s">
        <v>23</v>
      </c>
      <c r="L8" s="11">
        <v>610000</v>
      </c>
      <c r="M8" s="11">
        <v>550000</v>
      </c>
      <c r="N8" s="11"/>
      <c r="O8" s="11">
        <f t="shared" si="0"/>
        <v>60000</v>
      </c>
      <c r="P8" s="12">
        <f t="shared" si="1"/>
        <v>9.8360655737704916E-2</v>
      </c>
      <c r="Q8" s="28">
        <v>0.5</v>
      </c>
      <c r="R8" s="22">
        <f t="shared" si="2"/>
        <v>305000</v>
      </c>
      <c r="S8" s="21">
        <f t="shared" si="3"/>
        <v>30000</v>
      </c>
    </row>
    <row r="9" spans="1:19">
      <c r="A9">
        <v>7</v>
      </c>
      <c r="B9" s="50" t="s">
        <v>797</v>
      </c>
      <c r="C9" s="51" t="s">
        <v>856</v>
      </c>
      <c r="D9" s="10" t="s">
        <v>149</v>
      </c>
      <c r="E9" s="10" t="s">
        <v>173</v>
      </c>
      <c r="F9" s="10" t="s">
        <v>182</v>
      </c>
      <c r="G9" s="10" t="s">
        <v>183</v>
      </c>
      <c r="H9" s="10" t="s">
        <v>16</v>
      </c>
      <c r="I9" s="10" t="s">
        <v>184</v>
      </c>
      <c r="J9" s="14" t="s">
        <v>185</v>
      </c>
      <c r="K9" s="10" t="s">
        <v>186</v>
      </c>
      <c r="L9" s="11">
        <v>530000</v>
      </c>
      <c r="M9" s="11">
        <v>430000</v>
      </c>
      <c r="N9" s="11"/>
      <c r="O9" s="11">
        <f t="shared" si="0"/>
        <v>100000</v>
      </c>
      <c r="P9" s="12">
        <f t="shared" si="1"/>
        <v>0.18867924528301888</v>
      </c>
      <c r="Q9" s="28">
        <v>1</v>
      </c>
      <c r="R9" s="22">
        <f t="shared" si="2"/>
        <v>530000</v>
      </c>
      <c r="S9" s="21">
        <f t="shared" si="3"/>
        <v>100000</v>
      </c>
    </row>
    <row r="10" spans="1:19">
      <c r="A10">
        <v>8</v>
      </c>
      <c r="B10" s="50" t="s">
        <v>797</v>
      </c>
      <c r="C10" s="51" t="s">
        <v>856</v>
      </c>
      <c r="D10" s="10"/>
      <c r="E10" s="10"/>
      <c r="F10" s="10"/>
      <c r="G10" s="10"/>
      <c r="H10" s="10" t="s">
        <v>62</v>
      </c>
      <c r="I10" s="10"/>
      <c r="J10" s="14" t="s">
        <v>187</v>
      </c>
      <c r="K10" s="10"/>
      <c r="L10" s="11">
        <v>0</v>
      </c>
      <c r="M10" s="11">
        <v>50000</v>
      </c>
      <c r="N10" s="11"/>
      <c r="O10" s="11">
        <f t="shared" si="0"/>
        <v>-50000</v>
      </c>
      <c r="P10" s="12">
        <f t="shared" si="1"/>
        <v>0</v>
      </c>
      <c r="Q10" s="28">
        <v>1</v>
      </c>
      <c r="R10" s="22">
        <f t="shared" si="2"/>
        <v>0</v>
      </c>
      <c r="S10" s="21">
        <f t="shared" si="3"/>
        <v>-50000</v>
      </c>
    </row>
    <row r="11" spans="1:19">
      <c r="A11">
        <v>9</v>
      </c>
      <c r="B11" s="50" t="s">
        <v>798</v>
      </c>
      <c r="C11" s="51" t="s">
        <v>857</v>
      </c>
      <c r="D11" s="10" t="s">
        <v>200</v>
      </c>
      <c r="E11" s="10"/>
      <c r="F11" s="10" t="s">
        <v>188</v>
      </c>
      <c r="G11" s="10" t="s">
        <v>201</v>
      </c>
      <c r="H11" s="10" t="s">
        <v>16</v>
      </c>
      <c r="I11" s="10" t="s">
        <v>202</v>
      </c>
      <c r="J11" s="14" t="s">
        <v>203</v>
      </c>
      <c r="K11" s="10" t="s">
        <v>204</v>
      </c>
      <c r="L11" s="11">
        <v>700000</v>
      </c>
      <c r="M11" s="11">
        <v>610000</v>
      </c>
      <c r="N11" s="11"/>
      <c r="O11" s="11">
        <f t="shared" si="0"/>
        <v>90000</v>
      </c>
      <c r="P11" s="12">
        <f t="shared" si="1"/>
        <v>0.12857142857142856</v>
      </c>
      <c r="Q11" s="28">
        <v>0.5</v>
      </c>
      <c r="R11" s="22">
        <f t="shared" si="2"/>
        <v>350000</v>
      </c>
      <c r="S11" s="21">
        <f t="shared" si="3"/>
        <v>45000</v>
      </c>
    </row>
    <row r="12" spans="1:19">
      <c r="A12">
        <v>10</v>
      </c>
      <c r="B12" s="50" t="s">
        <v>798</v>
      </c>
      <c r="C12" s="51" t="s">
        <v>857</v>
      </c>
      <c r="D12" s="10"/>
      <c r="E12" s="10"/>
      <c r="F12" s="10"/>
      <c r="G12" s="10"/>
      <c r="H12" s="10" t="s">
        <v>62</v>
      </c>
      <c r="I12" s="10"/>
      <c r="J12" s="14" t="s">
        <v>205</v>
      </c>
      <c r="K12" s="10"/>
      <c r="L12" s="11">
        <v>0</v>
      </c>
      <c r="M12" s="11">
        <v>30000</v>
      </c>
      <c r="N12" s="11"/>
      <c r="O12" s="11">
        <f t="shared" si="0"/>
        <v>-30000</v>
      </c>
      <c r="P12" s="12">
        <f t="shared" si="1"/>
        <v>0</v>
      </c>
      <c r="Q12" s="28">
        <v>0.5</v>
      </c>
      <c r="R12" s="22">
        <f t="shared" si="2"/>
        <v>0</v>
      </c>
      <c r="S12" s="21">
        <f t="shared" si="3"/>
        <v>-15000</v>
      </c>
    </row>
    <row r="13" spans="1:19">
      <c r="A13">
        <v>11</v>
      </c>
      <c r="B13" s="50" t="s">
        <v>800</v>
      </c>
      <c r="C13" s="51" t="s">
        <v>858</v>
      </c>
      <c r="D13" s="10" t="s">
        <v>215</v>
      </c>
      <c r="E13" s="10"/>
      <c r="F13" s="10" t="s">
        <v>216</v>
      </c>
      <c r="G13" s="10" t="s">
        <v>217</v>
      </c>
      <c r="H13" s="10" t="s">
        <v>218</v>
      </c>
      <c r="I13" s="10" t="s">
        <v>219</v>
      </c>
      <c r="J13" s="14" t="s">
        <v>220</v>
      </c>
      <c r="K13" s="10" t="s">
        <v>221</v>
      </c>
      <c r="L13" s="11">
        <v>590000</v>
      </c>
      <c r="M13" s="11">
        <v>550000</v>
      </c>
      <c r="N13" s="11"/>
      <c r="O13" s="11">
        <f t="shared" si="0"/>
        <v>40000</v>
      </c>
      <c r="P13" s="12">
        <f t="shared" si="1"/>
        <v>6.7796610169491525E-2</v>
      </c>
      <c r="Q13" s="28">
        <v>0.5</v>
      </c>
      <c r="R13" s="22">
        <f t="shared" si="2"/>
        <v>295000</v>
      </c>
      <c r="S13" s="21">
        <f t="shared" si="3"/>
        <v>20000</v>
      </c>
    </row>
    <row r="14" spans="1:19">
      <c r="A14">
        <v>12</v>
      </c>
      <c r="B14" s="50" t="s">
        <v>805</v>
      </c>
      <c r="C14" s="51" t="s">
        <v>865</v>
      </c>
      <c r="D14" s="10" t="s">
        <v>248</v>
      </c>
      <c r="E14" s="10"/>
      <c r="F14" s="10" t="s">
        <v>249</v>
      </c>
      <c r="G14" s="10" t="s">
        <v>250</v>
      </c>
      <c r="H14" s="10" t="s">
        <v>141</v>
      </c>
      <c r="I14" s="10" t="s">
        <v>251</v>
      </c>
      <c r="J14" s="14" t="s">
        <v>252</v>
      </c>
      <c r="K14" s="10" t="s">
        <v>253</v>
      </c>
      <c r="L14" s="11">
        <v>530000</v>
      </c>
      <c r="M14" s="11">
        <v>490000</v>
      </c>
      <c r="N14" s="11"/>
      <c r="O14" s="11">
        <f t="shared" si="0"/>
        <v>40000</v>
      </c>
      <c r="P14" s="12">
        <f t="shared" si="1"/>
        <v>7.5471698113207544E-2</v>
      </c>
      <c r="Q14" s="28">
        <v>1</v>
      </c>
      <c r="R14" s="22">
        <f t="shared" si="2"/>
        <v>530000</v>
      </c>
      <c r="S14" s="21">
        <f t="shared" si="3"/>
        <v>40000</v>
      </c>
    </row>
    <row r="15" spans="1:19">
      <c r="A15">
        <v>14</v>
      </c>
      <c r="B15" s="50" t="s">
        <v>810</v>
      </c>
      <c r="C15" s="51" t="s">
        <v>865</v>
      </c>
      <c r="D15" s="10" t="s">
        <v>223</v>
      </c>
      <c r="E15" s="10" t="s">
        <v>283</v>
      </c>
      <c r="F15" s="10" t="s">
        <v>284</v>
      </c>
      <c r="G15" s="10" t="s">
        <v>285</v>
      </c>
      <c r="H15" s="10" t="s">
        <v>286</v>
      </c>
      <c r="I15" s="10" t="s">
        <v>287</v>
      </c>
      <c r="J15" s="14" t="s">
        <v>288</v>
      </c>
      <c r="K15" s="10" t="s">
        <v>222</v>
      </c>
      <c r="L15" s="11">
        <v>360000</v>
      </c>
      <c r="M15" s="11">
        <v>320000</v>
      </c>
      <c r="N15" s="11"/>
      <c r="O15" s="11">
        <f t="shared" si="0"/>
        <v>40000</v>
      </c>
      <c r="P15" s="12">
        <f t="shared" si="1"/>
        <v>0.1111111111111111</v>
      </c>
      <c r="Q15" s="28">
        <v>0.5</v>
      </c>
      <c r="R15" s="22">
        <f t="shared" si="2"/>
        <v>180000</v>
      </c>
      <c r="S15" s="21">
        <f t="shared" si="3"/>
        <v>20000</v>
      </c>
    </row>
    <row r="16" spans="1:19">
      <c r="A16">
        <v>15</v>
      </c>
      <c r="B16" s="50" t="s">
        <v>811</v>
      </c>
      <c r="C16" s="51" t="s">
        <v>866</v>
      </c>
      <c r="D16" s="10" t="s">
        <v>289</v>
      </c>
      <c r="E16" s="10" t="s">
        <v>290</v>
      </c>
      <c r="F16" s="10" t="s">
        <v>291</v>
      </c>
      <c r="G16" s="10" t="s">
        <v>292</v>
      </c>
      <c r="H16" s="10" t="s">
        <v>293</v>
      </c>
      <c r="I16" s="10" t="s">
        <v>294</v>
      </c>
      <c r="J16" s="14" t="s">
        <v>295</v>
      </c>
      <c r="K16" s="10" t="s">
        <v>119</v>
      </c>
      <c r="L16" s="11">
        <v>625000</v>
      </c>
      <c r="M16" s="11">
        <v>580000</v>
      </c>
      <c r="N16" s="11"/>
      <c r="O16" s="11">
        <f t="shared" si="0"/>
        <v>45000</v>
      </c>
      <c r="P16" s="12">
        <f t="shared" si="1"/>
        <v>7.1999999999999995E-2</v>
      </c>
      <c r="Q16" s="28">
        <v>0.5</v>
      </c>
      <c r="R16" s="22">
        <f t="shared" si="2"/>
        <v>312500</v>
      </c>
      <c r="S16" s="21">
        <f t="shared" si="3"/>
        <v>22500</v>
      </c>
    </row>
    <row r="17" spans="1:19">
      <c r="A17">
        <v>16</v>
      </c>
      <c r="B17" s="50" t="s">
        <v>815</v>
      </c>
      <c r="C17" s="51" t="s">
        <v>867</v>
      </c>
      <c r="D17" s="10" t="s">
        <v>312</v>
      </c>
      <c r="E17" s="10"/>
      <c r="F17" s="10" t="s">
        <v>313</v>
      </c>
      <c r="G17" s="10" t="s">
        <v>314</v>
      </c>
      <c r="H17" s="10" t="s">
        <v>315</v>
      </c>
      <c r="I17" s="10" t="s">
        <v>166</v>
      </c>
      <c r="J17" s="14" t="s">
        <v>316</v>
      </c>
      <c r="K17" s="10" t="s">
        <v>119</v>
      </c>
      <c r="L17" s="11">
        <v>580000</v>
      </c>
      <c r="M17" s="11">
        <v>550000</v>
      </c>
      <c r="N17" s="11"/>
      <c r="O17" s="11">
        <f t="shared" si="0"/>
        <v>30000</v>
      </c>
      <c r="P17" s="12">
        <f t="shared" si="1"/>
        <v>5.1724137931034482E-2</v>
      </c>
      <c r="Q17" s="28">
        <v>1</v>
      </c>
      <c r="R17" s="22">
        <f t="shared" si="2"/>
        <v>580000</v>
      </c>
      <c r="S17" s="21">
        <f t="shared" si="3"/>
        <v>30000</v>
      </c>
    </row>
    <row r="18" spans="1:19">
      <c r="A18">
        <v>17</v>
      </c>
      <c r="B18" s="50" t="s">
        <v>816</v>
      </c>
      <c r="C18" s="51" t="s">
        <v>868</v>
      </c>
      <c r="D18" s="10" t="s">
        <v>322</v>
      </c>
      <c r="E18" s="10" t="s">
        <v>323</v>
      </c>
      <c r="F18" s="10" t="s">
        <v>321</v>
      </c>
      <c r="G18" s="10" t="s">
        <v>324</v>
      </c>
      <c r="H18" s="10" t="s">
        <v>325</v>
      </c>
      <c r="I18" s="10" t="s">
        <v>326</v>
      </c>
      <c r="J18" s="14" t="s">
        <v>327</v>
      </c>
      <c r="K18" s="10" t="s">
        <v>328</v>
      </c>
      <c r="L18" s="11">
        <v>350000</v>
      </c>
      <c r="M18" s="11">
        <v>320000</v>
      </c>
      <c r="N18" s="11"/>
      <c r="O18" s="11">
        <f t="shared" si="0"/>
        <v>30000</v>
      </c>
      <c r="P18" s="12">
        <f t="shared" si="1"/>
        <v>8.5714285714285715E-2</v>
      </c>
      <c r="Q18" s="28">
        <v>1</v>
      </c>
      <c r="R18" s="22">
        <f t="shared" si="2"/>
        <v>350000</v>
      </c>
      <c r="S18" s="21">
        <f t="shared" si="3"/>
        <v>30000</v>
      </c>
    </row>
    <row r="19" spans="1:19">
      <c r="A19">
        <v>18</v>
      </c>
      <c r="B19" s="50" t="s">
        <v>818</v>
      </c>
      <c r="C19" s="51" t="s">
        <v>868</v>
      </c>
      <c r="D19" s="10" t="s">
        <v>337</v>
      </c>
      <c r="E19" s="10" t="s">
        <v>338</v>
      </c>
      <c r="F19" s="10" t="s">
        <v>339</v>
      </c>
      <c r="G19" s="10" t="s">
        <v>340</v>
      </c>
      <c r="H19" s="10" t="s">
        <v>341</v>
      </c>
      <c r="I19" s="10" t="s">
        <v>342</v>
      </c>
      <c r="J19" s="14" t="s">
        <v>343</v>
      </c>
      <c r="K19" s="10" t="s">
        <v>237</v>
      </c>
      <c r="L19" s="11">
        <v>350000</v>
      </c>
      <c r="M19" s="11">
        <v>320000</v>
      </c>
      <c r="N19" s="11"/>
      <c r="O19" s="11">
        <f t="shared" si="0"/>
        <v>30000</v>
      </c>
      <c r="P19" s="12">
        <f t="shared" si="1"/>
        <v>8.5714285714285715E-2</v>
      </c>
      <c r="Q19" s="28">
        <v>1</v>
      </c>
      <c r="R19" s="22">
        <f t="shared" si="2"/>
        <v>350000</v>
      </c>
      <c r="S19" s="21">
        <f t="shared" si="3"/>
        <v>30000</v>
      </c>
    </row>
    <row r="20" spans="1:19">
      <c r="A20">
        <v>19</v>
      </c>
      <c r="B20" s="50" t="s">
        <v>819</v>
      </c>
      <c r="C20" s="51" t="s">
        <v>869</v>
      </c>
      <c r="D20" s="10" t="s">
        <v>345</v>
      </c>
      <c r="E20" s="10"/>
      <c r="F20" s="10" t="s">
        <v>346</v>
      </c>
      <c r="G20" s="10" t="s">
        <v>347</v>
      </c>
      <c r="H20" s="10" t="s">
        <v>16</v>
      </c>
      <c r="I20" s="10" t="s">
        <v>348</v>
      </c>
      <c r="J20" s="14" t="s">
        <v>349</v>
      </c>
      <c r="K20" s="10" t="s">
        <v>350</v>
      </c>
      <c r="L20" s="11">
        <v>710000</v>
      </c>
      <c r="M20" s="11">
        <v>610000</v>
      </c>
      <c r="N20" s="11"/>
      <c r="O20" s="11">
        <f t="shared" si="0"/>
        <v>100000</v>
      </c>
      <c r="P20" s="12">
        <f t="shared" si="1"/>
        <v>0.14084507042253522</v>
      </c>
      <c r="Q20" s="28">
        <v>1</v>
      </c>
      <c r="R20" s="22">
        <f t="shared" si="2"/>
        <v>710000</v>
      </c>
      <c r="S20" s="21">
        <f t="shared" si="3"/>
        <v>100000</v>
      </c>
    </row>
    <row r="21" spans="1:19">
      <c r="A21">
        <v>20</v>
      </c>
      <c r="B21" s="50" t="s">
        <v>819</v>
      </c>
      <c r="C21" s="51" t="s">
        <v>869</v>
      </c>
      <c r="D21" s="10"/>
      <c r="E21" s="10"/>
      <c r="F21" s="10"/>
      <c r="G21" s="10"/>
      <c r="H21" s="10" t="s">
        <v>62</v>
      </c>
      <c r="I21" s="10"/>
      <c r="J21" s="14" t="s">
        <v>351</v>
      </c>
      <c r="K21" s="10"/>
      <c r="L21" s="11">
        <v>0</v>
      </c>
      <c r="M21" s="11">
        <v>50000</v>
      </c>
      <c r="N21" s="11"/>
      <c r="O21" s="11">
        <f t="shared" si="0"/>
        <v>-50000</v>
      </c>
      <c r="P21" s="12">
        <f t="shared" si="1"/>
        <v>0</v>
      </c>
      <c r="Q21" s="28">
        <v>1</v>
      </c>
      <c r="R21" s="22">
        <f t="shared" si="2"/>
        <v>0</v>
      </c>
      <c r="S21" s="21">
        <f t="shared" si="3"/>
        <v>-50000</v>
      </c>
    </row>
    <row r="22" spans="1:19">
      <c r="A22">
        <v>21</v>
      </c>
      <c r="B22" s="50" t="s">
        <v>820</v>
      </c>
      <c r="C22" s="51" t="s">
        <v>859</v>
      </c>
      <c r="D22" s="10" t="s">
        <v>71</v>
      </c>
      <c r="E22" s="10"/>
      <c r="F22" s="10" t="s">
        <v>354</v>
      </c>
      <c r="G22" s="10" t="s">
        <v>355</v>
      </c>
      <c r="H22" s="10" t="s">
        <v>356</v>
      </c>
      <c r="I22" s="10" t="s">
        <v>357</v>
      </c>
      <c r="J22" s="14" t="s">
        <v>358</v>
      </c>
      <c r="K22" s="10" t="s">
        <v>359</v>
      </c>
      <c r="L22" s="11">
        <v>350000</v>
      </c>
      <c r="M22" s="11">
        <v>320000</v>
      </c>
      <c r="N22" s="11"/>
      <c r="O22" s="11">
        <f t="shared" si="0"/>
        <v>30000</v>
      </c>
      <c r="P22" s="12">
        <f t="shared" si="1"/>
        <v>8.5714285714285715E-2</v>
      </c>
      <c r="Q22" s="28">
        <v>1</v>
      </c>
      <c r="R22" s="22">
        <f t="shared" si="2"/>
        <v>350000</v>
      </c>
      <c r="S22" s="21">
        <f t="shared" si="3"/>
        <v>30000</v>
      </c>
    </row>
    <row r="23" spans="1:19">
      <c r="A23">
        <v>22</v>
      </c>
      <c r="B23" s="50" t="s">
        <v>821</v>
      </c>
      <c r="C23" s="51" t="s">
        <v>859</v>
      </c>
      <c r="D23" s="10" t="s">
        <v>209</v>
      </c>
      <c r="E23" s="10"/>
      <c r="F23" s="10" t="s">
        <v>360</v>
      </c>
      <c r="G23" s="10" t="s">
        <v>361</v>
      </c>
      <c r="H23" s="10" t="s">
        <v>362</v>
      </c>
      <c r="I23" s="10" t="s">
        <v>363</v>
      </c>
      <c r="J23" s="14" t="s">
        <v>364</v>
      </c>
      <c r="K23" s="10" t="s">
        <v>365</v>
      </c>
      <c r="L23" s="11">
        <v>350000</v>
      </c>
      <c r="M23" s="11">
        <v>320000</v>
      </c>
      <c r="N23" s="11"/>
      <c r="O23" s="11">
        <f t="shared" si="0"/>
        <v>30000</v>
      </c>
      <c r="P23" s="12">
        <f t="shared" si="1"/>
        <v>8.5714285714285715E-2</v>
      </c>
      <c r="Q23" s="28">
        <v>0.5</v>
      </c>
      <c r="R23" s="22">
        <f t="shared" si="2"/>
        <v>175000</v>
      </c>
      <c r="S23" s="21">
        <f t="shared" si="3"/>
        <v>15000</v>
      </c>
    </row>
    <row r="24" spans="1:19">
      <c r="A24">
        <v>23</v>
      </c>
      <c r="B24" s="50" t="s">
        <v>820</v>
      </c>
      <c r="C24" s="51" t="s">
        <v>870</v>
      </c>
      <c r="D24" s="10" t="s">
        <v>352</v>
      </c>
      <c r="E24" s="10" t="s">
        <v>224</v>
      </c>
      <c r="F24" s="10" t="s">
        <v>172</v>
      </c>
      <c r="G24" s="10" t="s">
        <v>370</v>
      </c>
      <c r="H24" s="10" t="s">
        <v>371</v>
      </c>
      <c r="I24" s="10" t="s">
        <v>372</v>
      </c>
      <c r="J24" s="14" t="s">
        <v>373</v>
      </c>
      <c r="K24" s="10" t="s">
        <v>374</v>
      </c>
      <c r="L24" s="11">
        <v>520000</v>
      </c>
      <c r="M24" s="11">
        <v>480000</v>
      </c>
      <c r="N24" s="11"/>
      <c r="O24" s="11">
        <f t="shared" si="0"/>
        <v>40000</v>
      </c>
      <c r="P24" s="12">
        <f t="shared" si="1"/>
        <v>7.6923076923076927E-2</v>
      </c>
      <c r="Q24" s="28">
        <v>1</v>
      </c>
      <c r="R24" s="22">
        <f t="shared" si="2"/>
        <v>520000</v>
      </c>
      <c r="S24" s="21">
        <f t="shared" si="3"/>
        <v>40000</v>
      </c>
    </row>
    <row r="25" spans="1:19">
      <c r="A25">
        <v>25</v>
      </c>
      <c r="B25" s="50" t="s">
        <v>823</v>
      </c>
      <c r="C25" s="51" t="s">
        <v>869</v>
      </c>
      <c r="D25" s="10" t="s">
        <v>892</v>
      </c>
      <c r="E25" s="10" t="s">
        <v>892</v>
      </c>
      <c r="F25" s="10" t="s">
        <v>380</v>
      </c>
      <c r="G25" s="10" t="s">
        <v>381</v>
      </c>
      <c r="H25" s="10" t="s">
        <v>892</v>
      </c>
      <c r="I25" s="10" t="s">
        <v>892</v>
      </c>
      <c r="J25" s="14" t="s">
        <v>382</v>
      </c>
      <c r="K25" s="10"/>
      <c r="L25" s="11">
        <v>30000</v>
      </c>
      <c r="M25" s="11">
        <v>0</v>
      </c>
      <c r="N25" s="11"/>
      <c r="O25" s="11">
        <f t="shared" si="0"/>
        <v>30000</v>
      </c>
      <c r="P25" s="12">
        <f t="shared" si="1"/>
        <v>1</v>
      </c>
      <c r="Q25" s="28">
        <v>1</v>
      </c>
      <c r="R25" s="22">
        <f t="shared" si="2"/>
        <v>30000</v>
      </c>
      <c r="S25" s="21">
        <f t="shared" si="3"/>
        <v>30000</v>
      </c>
    </row>
    <row r="26" spans="1:19">
      <c r="A26">
        <v>26</v>
      </c>
      <c r="B26" s="50" t="s">
        <v>824</v>
      </c>
      <c r="C26" s="51" t="s">
        <v>871</v>
      </c>
      <c r="D26" s="10" t="s">
        <v>401</v>
      </c>
      <c r="E26" s="10"/>
      <c r="F26" s="10" t="s">
        <v>402</v>
      </c>
      <c r="G26" s="10" t="s">
        <v>403</v>
      </c>
      <c r="H26" s="10" t="s">
        <v>404</v>
      </c>
      <c r="I26" s="10" t="s">
        <v>405</v>
      </c>
      <c r="J26" s="14" t="s">
        <v>406</v>
      </c>
      <c r="K26" s="10" t="s">
        <v>407</v>
      </c>
      <c r="L26" s="11">
        <v>610000</v>
      </c>
      <c r="M26" s="11">
        <v>580000</v>
      </c>
      <c r="N26" s="11"/>
      <c r="O26" s="11">
        <f t="shared" si="0"/>
        <v>30000</v>
      </c>
      <c r="P26" s="12">
        <f t="shared" si="1"/>
        <v>4.9180327868852458E-2</v>
      </c>
      <c r="Q26" s="28">
        <v>1</v>
      </c>
      <c r="R26" s="22">
        <f t="shared" si="2"/>
        <v>610000</v>
      </c>
      <c r="S26" s="21">
        <f t="shared" si="3"/>
        <v>30000</v>
      </c>
    </row>
    <row r="27" spans="1:19">
      <c r="A27">
        <v>27</v>
      </c>
      <c r="B27" s="50" t="s">
        <v>824</v>
      </c>
      <c r="C27" s="51" t="s">
        <v>871</v>
      </c>
      <c r="D27" s="10" t="s">
        <v>401</v>
      </c>
      <c r="E27" s="10"/>
      <c r="F27" s="10" t="s">
        <v>408</v>
      </c>
      <c r="G27" s="10" t="s">
        <v>409</v>
      </c>
      <c r="H27" s="10" t="s">
        <v>410</v>
      </c>
      <c r="I27" s="10" t="s">
        <v>411</v>
      </c>
      <c r="J27" s="14" t="s">
        <v>412</v>
      </c>
      <c r="K27" s="10" t="s">
        <v>119</v>
      </c>
      <c r="L27" s="11">
        <v>560000</v>
      </c>
      <c r="M27" s="11">
        <v>520000</v>
      </c>
      <c r="N27" s="11"/>
      <c r="O27" s="11">
        <f t="shared" si="0"/>
        <v>40000</v>
      </c>
      <c r="P27" s="12">
        <f t="shared" si="1"/>
        <v>7.1428571428571425E-2</v>
      </c>
      <c r="Q27" s="28">
        <v>1</v>
      </c>
      <c r="R27" s="22">
        <f t="shared" si="2"/>
        <v>560000</v>
      </c>
      <c r="S27" s="21">
        <f t="shared" si="3"/>
        <v>40000</v>
      </c>
    </row>
    <row r="28" spans="1:19">
      <c r="A28">
        <v>30</v>
      </c>
      <c r="B28" s="50" t="s">
        <v>826</v>
      </c>
      <c r="C28" s="51" t="s">
        <v>861</v>
      </c>
      <c r="D28" s="10" t="s">
        <v>419</v>
      </c>
      <c r="E28" s="10" t="s">
        <v>323</v>
      </c>
      <c r="F28" s="10" t="s">
        <v>321</v>
      </c>
      <c r="G28" s="10" t="s">
        <v>324</v>
      </c>
      <c r="H28" s="10" t="s">
        <v>16</v>
      </c>
      <c r="I28" s="10" t="s">
        <v>22</v>
      </c>
      <c r="J28" s="14" t="s">
        <v>420</v>
      </c>
      <c r="K28" s="10" t="s">
        <v>421</v>
      </c>
      <c r="L28" s="11">
        <v>350000</v>
      </c>
      <c r="M28" s="11">
        <v>220000</v>
      </c>
      <c r="N28" s="11"/>
      <c r="O28" s="11">
        <f t="shared" si="0"/>
        <v>130000</v>
      </c>
      <c r="P28" s="12">
        <f t="shared" si="1"/>
        <v>0.37142857142857144</v>
      </c>
      <c r="Q28" s="28">
        <v>0.5</v>
      </c>
      <c r="R28" s="22">
        <f t="shared" si="2"/>
        <v>175000</v>
      </c>
      <c r="S28" s="21">
        <f t="shared" si="3"/>
        <v>65000</v>
      </c>
    </row>
    <row r="29" spans="1:19">
      <c r="A29">
        <v>31</v>
      </c>
      <c r="B29" s="50" t="s">
        <v>827</v>
      </c>
      <c r="C29" s="51" t="s">
        <v>861</v>
      </c>
      <c r="D29" s="10" t="s">
        <v>422</v>
      </c>
      <c r="E29" s="10" t="s">
        <v>423</v>
      </c>
      <c r="F29" s="10" t="s">
        <v>424</v>
      </c>
      <c r="G29" s="10" t="s">
        <v>425</v>
      </c>
      <c r="H29" s="10" t="s">
        <v>426</v>
      </c>
      <c r="I29" s="10" t="s">
        <v>427</v>
      </c>
      <c r="J29" s="14" t="s">
        <v>428</v>
      </c>
      <c r="K29" s="10" t="s">
        <v>429</v>
      </c>
      <c r="L29" s="11">
        <v>520000</v>
      </c>
      <c r="M29" s="11">
        <v>480000</v>
      </c>
      <c r="N29" s="11"/>
      <c r="O29" s="11">
        <f t="shared" si="0"/>
        <v>40000</v>
      </c>
      <c r="P29" s="12">
        <f t="shared" si="1"/>
        <v>7.6923076923076927E-2</v>
      </c>
      <c r="Q29" s="28">
        <v>1</v>
      </c>
      <c r="R29" s="22">
        <f t="shared" si="2"/>
        <v>520000</v>
      </c>
      <c r="S29" s="21">
        <f t="shared" si="3"/>
        <v>40000</v>
      </c>
    </row>
    <row r="30" spans="1:19">
      <c r="A30">
        <v>32</v>
      </c>
      <c r="B30" s="50" t="s">
        <v>829</v>
      </c>
      <c r="C30" s="51" t="s">
        <v>861</v>
      </c>
      <c r="D30" s="10" t="s">
        <v>437</v>
      </c>
      <c r="E30" s="10" t="s">
        <v>224</v>
      </c>
      <c r="F30" s="10" t="s">
        <v>438</v>
      </c>
      <c r="G30" s="10" t="s">
        <v>439</v>
      </c>
      <c r="H30" s="10" t="s">
        <v>16</v>
      </c>
      <c r="I30" s="10" t="s">
        <v>440</v>
      </c>
      <c r="J30" s="14" t="s">
        <v>441</v>
      </c>
      <c r="K30" s="10" t="s">
        <v>442</v>
      </c>
      <c r="L30" s="11">
        <v>400000</v>
      </c>
      <c r="M30" s="11">
        <v>240000</v>
      </c>
      <c r="N30" s="11"/>
      <c r="O30" s="11">
        <f t="shared" si="0"/>
        <v>160000</v>
      </c>
      <c r="P30" s="12">
        <f t="shared" si="1"/>
        <v>0.4</v>
      </c>
      <c r="Q30" s="28">
        <v>1</v>
      </c>
      <c r="R30" s="22">
        <f t="shared" si="2"/>
        <v>400000</v>
      </c>
      <c r="S30" s="21">
        <f t="shared" si="3"/>
        <v>160000</v>
      </c>
    </row>
    <row r="31" spans="1:19">
      <c r="A31">
        <v>33</v>
      </c>
      <c r="B31" s="50" t="s">
        <v>831</v>
      </c>
      <c r="C31" s="51" t="s">
        <v>861</v>
      </c>
      <c r="D31" s="10" t="s">
        <v>457</v>
      </c>
      <c r="E31" s="10" t="s">
        <v>458</v>
      </c>
      <c r="F31" s="10" t="s">
        <v>438</v>
      </c>
      <c r="G31" s="10" t="s">
        <v>459</v>
      </c>
      <c r="H31" s="10" t="s">
        <v>460</v>
      </c>
      <c r="I31" s="10" t="s">
        <v>461</v>
      </c>
      <c r="J31" s="14" t="s">
        <v>462</v>
      </c>
      <c r="K31" s="10" t="s">
        <v>463</v>
      </c>
      <c r="L31" s="11">
        <v>640000</v>
      </c>
      <c r="M31" s="11">
        <v>600000</v>
      </c>
      <c r="N31" s="11"/>
      <c r="O31" s="11">
        <f t="shared" si="0"/>
        <v>40000</v>
      </c>
      <c r="P31" s="12">
        <f t="shared" si="1"/>
        <v>6.25E-2</v>
      </c>
      <c r="Q31" s="28">
        <v>0.5</v>
      </c>
      <c r="R31" s="22">
        <f t="shared" si="2"/>
        <v>320000</v>
      </c>
      <c r="S31" s="21">
        <f t="shared" si="3"/>
        <v>20000</v>
      </c>
    </row>
    <row r="32" spans="1:19">
      <c r="A32">
        <v>34</v>
      </c>
      <c r="B32" s="50" t="s">
        <v>832</v>
      </c>
      <c r="C32" s="51" t="s">
        <v>862</v>
      </c>
      <c r="D32" s="10" t="s">
        <v>486</v>
      </c>
      <c r="E32" s="10"/>
      <c r="F32" s="10" t="s">
        <v>487</v>
      </c>
      <c r="G32" s="10" t="s">
        <v>150</v>
      </c>
      <c r="H32" s="10" t="s">
        <v>16</v>
      </c>
      <c r="I32" s="10" t="s">
        <v>488</v>
      </c>
      <c r="J32" s="14" t="s">
        <v>489</v>
      </c>
      <c r="K32" s="10" t="s">
        <v>490</v>
      </c>
      <c r="L32" s="11">
        <v>560000</v>
      </c>
      <c r="M32" s="11">
        <v>350000</v>
      </c>
      <c r="N32" s="11"/>
      <c r="O32" s="11">
        <f t="shared" si="0"/>
        <v>210000</v>
      </c>
      <c r="P32" s="12">
        <f t="shared" si="1"/>
        <v>0.375</v>
      </c>
      <c r="Q32" s="28">
        <v>1</v>
      </c>
      <c r="R32" s="22">
        <f t="shared" si="2"/>
        <v>560000</v>
      </c>
      <c r="S32" s="21">
        <f t="shared" si="3"/>
        <v>210000</v>
      </c>
    </row>
    <row r="33" spans="1:19">
      <c r="A33">
        <v>35</v>
      </c>
      <c r="B33" s="50" t="s">
        <v>833</v>
      </c>
      <c r="C33" s="51" t="s">
        <v>862</v>
      </c>
      <c r="D33" s="10" t="s">
        <v>497</v>
      </c>
      <c r="E33" s="10"/>
      <c r="F33" s="10" t="s">
        <v>210</v>
      </c>
      <c r="G33" s="10" t="s">
        <v>498</v>
      </c>
      <c r="H33" s="10" t="s">
        <v>356</v>
      </c>
      <c r="I33" s="10" t="s">
        <v>485</v>
      </c>
      <c r="J33" s="14" t="s">
        <v>499</v>
      </c>
      <c r="K33" s="10" t="s">
        <v>500</v>
      </c>
      <c r="L33" s="11">
        <v>530000</v>
      </c>
      <c r="M33" s="11">
        <v>500000</v>
      </c>
      <c r="N33" s="11"/>
      <c r="O33" s="11">
        <f t="shared" si="0"/>
        <v>30000</v>
      </c>
      <c r="P33" s="12">
        <f t="shared" si="1"/>
        <v>5.6603773584905662E-2</v>
      </c>
      <c r="Q33" s="28">
        <v>1</v>
      </c>
      <c r="R33" s="22">
        <f t="shared" si="2"/>
        <v>530000</v>
      </c>
      <c r="S33" s="21">
        <f t="shared" si="3"/>
        <v>30000</v>
      </c>
    </row>
    <row r="34" spans="1:19">
      <c r="A34">
        <v>36</v>
      </c>
      <c r="B34" s="50" t="s">
        <v>833</v>
      </c>
      <c r="C34" s="51" t="s">
        <v>862</v>
      </c>
      <c r="D34" s="10" t="s">
        <v>497</v>
      </c>
      <c r="E34" s="10"/>
      <c r="F34" s="10" t="s">
        <v>210</v>
      </c>
      <c r="G34" s="10" t="s">
        <v>498</v>
      </c>
      <c r="H34" s="10" t="s">
        <v>356</v>
      </c>
      <c r="I34" s="10" t="s">
        <v>485</v>
      </c>
      <c r="J34" s="14" t="s">
        <v>501</v>
      </c>
      <c r="K34" s="10" t="s">
        <v>500</v>
      </c>
      <c r="L34" s="11">
        <v>450000</v>
      </c>
      <c r="M34" s="11">
        <v>410000</v>
      </c>
      <c r="N34" s="11"/>
      <c r="O34" s="11">
        <f t="shared" si="0"/>
        <v>40000</v>
      </c>
      <c r="P34" s="12">
        <f t="shared" si="1"/>
        <v>8.8888888888888892E-2</v>
      </c>
      <c r="Q34" s="28">
        <v>1</v>
      </c>
      <c r="R34" s="22">
        <f t="shared" si="2"/>
        <v>450000</v>
      </c>
      <c r="S34" s="21">
        <f t="shared" si="3"/>
        <v>40000</v>
      </c>
    </row>
    <row r="35" spans="1:19">
      <c r="A35">
        <v>38</v>
      </c>
      <c r="B35" s="50" t="s">
        <v>836</v>
      </c>
      <c r="C35" s="51" t="s">
        <v>872</v>
      </c>
      <c r="D35" s="10" t="s">
        <v>511</v>
      </c>
      <c r="E35" s="10"/>
      <c r="F35" s="10" t="s">
        <v>512</v>
      </c>
      <c r="G35" s="10" t="s">
        <v>513</v>
      </c>
      <c r="H35" s="10" t="s">
        <v>315</v>
      </c>
      <c r="I35" s="10" t="s">
        <v>166</v>
      </c>
      <c r="J35" s="14" t="s">
        <v>514</v>
      </c>
      <c r="K35" s="10" t="s">
        <v>119</v>
      </c>
      <c r="L35" s="11">
        <v>580000</v>
      </c>
      <c r="M35" s="11">
        <v>540000</v>
      </c>
      <c r="N35" s="11"/>
      <c r="O35" s="11">
        <f t="shared" si="0"/>
        <v>40000</v>
      </c>
      <c r="P35" s="12">
        <f t="shared" si="1"/>
        <v>6.8965517241379309E-2</v>
      </c>
      <c r="Q35" s="28">
        <v>1</v>
      </c>
      <c r="R35" s="22">
        <f t="shared" si="2"/>
        <v>580000</v>
      </c>
      <c r="S35" s="21">
        <f t="shared" si="3"/>
        <v>40000</v>
      </c>
    </row>
    <row r="36" spans="1:19">
      <c r="A36">
        <v>39</v>
      </c>
      <c r="B36" s="50" t="s">
        <v>837</v>
      </c>
      <c r="C36" s="51" t="s">
        <v>862</v>
      </c>
      <c r="D36" s="10" t="s">
        <v>515</v>
      </c>
      <c r="E36" s="10"/>
      <c r="F36" s="10" t="s">
        <v>210</v>
      </c>
      <c r="G36" s="10" t="s">
        <v>516</v>
      </c>
      <c r="H36" s="10" t="s">
        <v>517</v>
      </c>
      <c r="I36" s="10" t="s">
        <v>518</v>
      </c>
      <c r="J36" s="14" t="s">
        <v>519</v>
      </c>
      <c r="K36" s="10" t="s">
        <v>520</v>
      </c>
      <c r="L36" s="11">
        <v>500000</v>
      </c>
      <c r="M36" s="11">
        <v>470000</v>
      </c>
      <c r="N36" s="11"/>
      <c r="O36" s="11">
        <f t="shared" si="0"/>
        <v>30000</v>
      </c>
      <c r="P36" s="12">
        <f t="shared" si="1"/>
        <v>0.06</v>
      </c>
      <c r="Q36" s="28">
        <v>0.5</v>
      </c>
      <c r="R36" s="22">
        <f t="shared" si="2"/>
        <v>250000</v>
      </c>
      <c r="S36" s="21">
        <f t="shared" si="3"/>
        <v>15000</v>
      </c>
    </row>
    <row r="37" spans="1:19">
      <c r="A37">
        <v>40</v>
      </c>
      <c r="B37" s="50" t="s">
        <v>836</v>
      </c>
      <c r="C37" s="51" t="s">
        <v>862</v>
      </c>
      <c r="D37" s="10" t="s">
        <v>527</v>
      </c>
      <c r="E37" s="10"/>
      <c r="F37" s="10" t="s">
        <v>528</v>
      </c>
      <c r="G37" s="10" t="s">
        <v>529</v>
      </c>
      <c r="H37" s="10" t="s">
        <v>16</v>
      </c>
      <c r="I37" s="10" t="s">
        <v>530</v>
      </c>
      <c r="J37" s="14" t="s">
        <v>531</v>
      </c>
      <c r="K37" s="10" t="s">
        <v>532</v>
      </c>
      <c r="L37" s="11">
        <v>710000</v>
      </c>
      <c r="M37" s="11">
        <v>600000</v>
      </c>
      <c r="N37" s="11"/>
      <c r="O37" s="11">
        <f t="shared" ref="O37:O60" si="4">L37-M37-N37</f>
        <v>110000</v>
      </c>
      <c r="P37" s="12">
        <f t="shared" ref="P37:P60" si="5">IF(VALUE(L37)&lt;=0,0,O37/L37)</f>
        <v>0.15492957746478872</v>
      </c>
      <c r="Q37" s="28">
        <v>0.5</v>
      </c>
      <c r="R37" s="22">
        <f t="shared" ref="R37:R60" si="6">L37*Q37</f>
        <v>355000</v>
      </c>
      <c r="S37" s="21">
        <f t="shared" ref="S37:S60" si="7">Q37*O37</f>
        <v>55000</v>
      </c>
    </row>
    <row r="38" spans="1:19">
      <c r="A38">
        <v>41</v>
      </c>
      <c r="B38" s="50" t="s">
        <v>836</v>
      </c>
      <c r="C38" s="51" t="s">
        <v>862</v>
      </c>
      <c r="D38" s="10"/>
      <c r="E38" s="10"/>
      <c r="F38" s="10"/>
      <c r="G38" s="10"/>
      <c r="H38" s="10" t="s">
        <v>62</v>
      </c>
      <c r="I38" s="10"/>
      <c r="J38" s="14" t="s">
        <v>533</v>
      </c>
      <c r="K38" s="10"/>
      <c r="L38" s="11">
        <v>0</v>
      </c>
      <c r="M38" s="11">
        <v>50000</v>
      </c>
      <c r="N38" s="11"/>
      <c r="O38" s="11">
        <f t="shared" si="4"/>
        <v>-50000</v>
      </c>
      <c r="P38" s="12">
        <f t="shared" si="5"/>
        <v>0</v>
      </c>
      <c r="Q38" s="28">
        <v>0.5</v>
      </c>
      <c r="R38" s="22">
        <f t="shared" si="6"/>
        <v>0</v>
      </c>
      <c r="S38" s="21">
        <f t="shared" si="7"/>
        <v>-25000</v>
      </c>
    </row>
    <row r="39" spans="1:19">
      <c r="A39">
        <v>42</v>
      </c>
      <c r="B39" s="50" t="s">
        <v>839</v>
      </c>
      <c r="C39" s="51" t="s">
        <v>873</v>
      </c>
      <c r="D39" s="10" t="s">
        <v>534</v>
      </c>
      <c r="E39" s="10"/>
      <c r="F39" s="10" t="s">
        <v>535</v>
      </c>
      <c r="G39" s="10" t="s">
        <v>536</v>
      </c>
      <c r="H39" s="10" t="s">
        <v>16</v>
      </c>
      <c r="I39" s="10" t="s">
        <v>537</v>
      </c>
      <c r="J39" s="14" t="s">
        <v>538</v>
      </c>
      <c r="K39" s="10" t="s">
        <v>539</v>
      </c>
      <c r="L39" s="11">
        <v>550000</v>
      </c>
      <c r="M39" s="11">
        <v>450000</v>
      </c>
      <c r="N39" s="11"/>
      <c r="O39" s="11">
        <f t="shared" si="4"/>
        <v>100000</v>
      </c>
      <c r="P39" s="12">
        <f t="shared" si="5"/>
        <v>0.18181818181818182</v>
      </c>
      <c r="Q39" s="28">
        <v>1</v>
      </c>
      <c r="R39" s="22">
        <f t="shared" si="6"/>
        <v>550000</v>
      </c>
      <c r="S39" s="21">
        <f t="shared" si="7"/>
        <v>100000</v>
      </c>
    </row>
    <row r="40" spans="1:19">
      <c r="A40">
        <v>43</v>
      </c>
      <c r="B40" s="50" t="s">
        <v>839</v>
      </c>
      <c r="C40" s="51" t="s">
        <v>873</v>
      </c>
      <c r="D40" s="10"/>
      <c r="E40" s="10"/>
      <c r="F40" s="10"/>
      <c r="G40" s="10"/>
      <c r="H40" s="10" t="s">
        <v>62</v>
      </c>
      <c r="I40" s="10"/>
      <c r="J40" s="14" t="s">
        <v>540</v>
      </c>
      <c r="K40" s="10"/>
      <c r="L40" s="11">
        <v>0</v>
      </c>
      <c r="M40" s="11">
        <v>50000</v>
      </c>
      <c r="N40" s="11"/>
      <c r="O40" s="11">
        <f t="shared" si="4"/>
        <v>-50000</v>
      </c>
      <c r="P40" s="12">
        <f t="shared" si="5"/>
        <v>0</v>
      </c>
      <c r="Q40" s="28">
        <v>1</v>
      </c>
      <c r="R40" s="22">
        <f t="shared" si="6"/>
        <v>0</v>
      </c>
      <c r="S40" s="21">
        <f t="shared" si="7"/>
        <v>-50000</v>
      </c>
    </row>
    <row r="41" spans="1:19">
      <c r="A41">
        <v>44</v>
      </c>
      <c r="B41" s="50" t="s">
        <v>839</v>
      </c>
      <c r="C41" s="51" t="s">
        <v>862</v>
      </c>
      <c r="D41" s="10" t="s">
        <v>549</v>
      </c>
      <c r="E41" s="10"/>
      <c r="F41" s="10" t="s">
        <v>353</v>
      </c>
      <c r="G41" s="10" t="s">
        <v>550</v>
      </c>
      <c r="H41" s="10" t="s">
        <v>551</v>
      </c>
      <c r="I41" s="10" t="s">
        <v>552</v>
      </c>
      <c r="J41" s="14" t="s">
        <v>553</v>
      </c>
      <c r="K41" s="10" t="s">
        <v>359</v>
      </c>
      <c r="L41" s="11">
        <v>370000</v>
      </c>
      <c r="M41" s="11">
        <v>320000</v>
      </c>
      <c r="N41" s="11"/>
      <c r="O41" s="11">
        <f t="shared" si="4"/>
        <v>50000</v>
      </c>
      <c r="P41" s="12">
        <f t="shared" si="5"/>
        <v>0.13513513513513514</v>
      </c>
      <c r="Q41" s="28">
        <v>0.5</v>
      </c>
      <c r="R41" s="22">
        <f t="shared" si="6"/>
        <v>185000</v>
      </c>
      <c r="S41" s="21">
        <f t="shared" si="7"/>
        <v>25000</v>
      </c>
    </row>
    <row r="42" spans="1:19">
      <c r="A42">
        <v>45</v>
      </c>
      <c r="B42" s="50" t="s">
        <v>842</v>
      </c>
      <c r="C42" s="51" t="s">
        <v>814</v>
      </c>
      <c r="D42" s="10" t="s">
        <v>174</v>
      </c>
      <c r="E42" s="10" t="s">
        <v>578</v>
      </c>
      <c r="F42" s="10" t="s">
        <v>424</v>
      </c>
      <c r="G42" s="10" t="s">
        <v>579</v>
      </c>
      <c r="H42" s="10" t="s">
        <v>580</v>
      </c>
      <c r="I42" s="10" t="s">
        <v>581</v>
      </c>
      <c r="J42" s="14" t="s">
        <v>582</v>
      </c>
      <c r="K42" s="10" t="s">
        <v>583</v>
      </c>
      <c r="L42" s="11">
        <v>560000</v>
      </c>
      <c r="M42" s="11">
        <v>530000</v>
      </c>
      <c r="N42" s="11"/>
      <c r="O42" s="11">
        <f t="shared" si="4"/>
        <v>30000</v>
      </c>
      <c r="P42" s="12">
        <f t="shared" si="5"/>
        <v>5.3571428571428568E-2</v>
      </c>
      <c r="Q42" s="28">
        <v>1</v>
      </c>
      <c r="R42" s="22">
        <f t="shared" si="6"/>
        <v>560000</v>
      </c>
      <c r="S42" s="21">
        <f t="shared" si="7"/>
        <v>30000</v>
      </c>
    </row>
    <row r="43" spans="1:19">
      <c r="A43">
        <v>46</v>
      </c>
      <c r="B43" s="50" t="s">
        <v>842</v>
      </c>
      <c r="C43" s="51" t="s">
        <v>874</v>
      </c>
      <c r="D43" s="10" t="s">
        <v>584</v>
      </c>
      <c r="E43" s="10"/>
      <c r="F43" s="10" t="s">
        <v>585</v>
      </c>
      <c r="G43" s="10" t="s">
        <v>586</v>
      </c>
      <c r="H43" s="10" t="s">
        <v>16</v>
      </c>
      <c r="I43" s="10" t="s">
        <v>587</v>
      </c>
      <c r="J43" s="14" t="s">
        <v>588</v>
      </c>
      <c r="K43" s="10" t="s">
        <v>589</v>
      </c>
      <c r="L43" s="11">
        <v>660000</v>
      </c>
      <c r="M43" s="11">
        <v>550000</v>
      </c>
      <c r="N43" s="11"/>
      <c r="O43" s="11">
        <f t="shared" si="4"/>
        <v>110000</v>
      </c>
      <c r="P43" s="12">
        <f t="shared" si="5"/>
        <v>0.16666666666666666</v>
      </c>
      <c r="Q43" s="28">
        <v>1</v>
      </c>
      <c r="R43" s="22">
        <f t="shared" si="6"/>
        <v>660000</v>
      </c>
      <c r="S43" s="21">
        <f t="shared" si="7"/>
        <v>110000</v>
      </c>
    </row>
    <row r="44" spans="1:19">
      <c r="A44">
        <v>47</v>
      </c>
      <c r="B44" s="50" t="s">
        <v>842</v>
      </c>
      <c r="C44" s="51" t="s">
        <v>874</v>
      </c>
      <c r="D44" s="10"/>
      <c r="E44" s="10"/>
      <c r="F44" s="10"/>
      <c r="G44" s="10"/>
      <c r="H44" s="10" t="s">
        <v>62</v>
      </c>
      <c r="I44" s="10"/>
      <c r="J44" s="14" t="s">
        <v>590</v>
      </c>
      <c r="K44" s="10"/>
      <c r="L44" s="11">
        <v>0</v>
      </c>
      <c r="M44" s="11">
        <v>50000</v>
      </c>
      <c r="N44" s="11"/>
      <c r="O44" s="11">
        <f t="shared" si="4"/>
        <v>-50000</v>
      </c>
      <c r="P44" s="12">
        <f t="shared" si="5"/>
        <v>0</v>
      </c>
      <c r="Q44" s="28">
        <v>1</v>
      </c>
      <c r="R44" s="22">
        <f t="shared" si="6"/>
        <v>0</v>
      </c>
      <c r="S44" s="21">
        <f t="shared" si="7"/>
        <v>-50000</v>
      </c>
    </row>
    <row r="45" spans="1:19">
      <c r="A45">
        <v>49</v>
      </c>
      <c r="B45" s="50" t="s">
        <v>843</v>
      </c>
      <c r="C45" s="51" t="s">
        <v>874</v>
      </c>
      <c r="D45" s="10"/>
      <c r="E45" s="10"/>
      <c r="F45" s="10" t="s">
        <v>593</v>
      </c>
      <c r="G45" s="10" t="s">
        <v>594</v>
      </c>
      <c r="H45" s="10" t="s">
        <v>595</v>
      </c>
      <c r="I45" s="10" t="s">
        <v>596</v>
      </c>
      <c r="J45" s="14" t="s">
        <v>597</v>
      </c>
      <c r="K45" s="10" t="s">
        <v>532</v>
      </c>
      <c r="L45" s="11">
        <v>430000</v>
      </c>
      <c r="M45" s="11">
        <v>250000</v>
      </c>
      <c r="N45" s="11"/>
      <c r="O45" s="11">
        <f t="shared" si="4"/>
        <v>180000</v>
      </c>
      <c r="P45" s="12">
        <f t="shared" si="5"/>
        <v>0.41860465116279072</v>
      </c>
      <c r="Q45" s="28">
        <v>0.5</v>
      </c>
      <c r="R45" s="22">
        <f t="shared" si="6"/>
        <v>215000</v>
      </c>
      <c r="S45" s="21">
        <f t="shared" si="7"/>
        <v>90000</v>
      </c>
    </row>
    <row r="46" spans="1:19">
      <c r="A46">
        <v>50</v>
      </c>
      <c r="B46" s="50" t="s">
        <v>843</v>
      </c>
      <c r="C46" s="51" t="s">
        <v>874</v>
      </c>
      <c r="D46" s="10"/>
      <c r="E46" s="10"/>
      <c r="F46" s="10" t="s">
        <v>593</v>
      </c>
      <c r="G46" s="10" t="s">
        <v>594</v>
      </c>
      <c r="H46" s="10" t="s">
        <v>595</v>
      </c>
      <c r="I46" s="10" t="s">
        <v>596</v>
      </c>
      <c r="J46" s="14" t="s">
        <v>598</v>
      </c>
      <c r="K46" s="10" t="s">
        <v>532</v>
      </c>
      <c r="L46" s="11">
        <v>350000</v>
      </c>
      <c r="M46" s="11">
        <v>220000</v>
      </c>
      <c r="N46" s="11"/>
      <c r="O46" s="11">
        <f t="shared" si="4"/>
        <v>130000</v>
      </c>
      <c r="P46" s="12">
        <f t="shared" si="5"/>
        <v>0.37142857142857144</v>
      </c>
      <c r="Q46" s="28">
        <v>0.5</v>
      </c>
      <c r="R46" s="22">
        <f t="shared" si="6"/>
        <v>175000</v>
      </c>
      <c r="S46" s="21">
        <f t="shared" si="7"/>
        <v>65000</v>
      </c>
    </row>
    <row r="47" spans="1:19">
      <c r="A47">
        <v>51</v>
      </c>
      <c r="B47" s="50" t="s">
        <v>845</v>
      </c>
      <c r="C47" s="51" t="s">
        <v>814</v>
      </c>
      <c r="D47" s="10" t="s">
        <v>612</v>
      </c>
      <c r="E47" s="10"/>
      <c r="F47" s="10" t="s">
        <v>424</v>
      </c>
      <c r="G47" s="10" t="s">
        <v>613</v>
      </c>
      <c r="H47" s="10" t="s">
        <v>614</v>
      </c>
      <c r="I47" s="10" t="s">
        <v>615</v>
      </c>
      <c r="J47" s="14" t="s">
        <v>616</v>
      </c>
      <c r="K47" s="10" t="s">
        <v>617</v>
      </c>
      <c r="L47" s="11">
        <v>350000</v>
      </c>
      <c r="M47" s="11">
        <v>320000</v>
      </c>
      <c r="N47" s="11"/>
      <c r="O47" s="11">
        <f t="shared" si="4"/>
        <v>30000</v>
      </c>
      <c r="P47" s="12">
        <f t="shared" si="5"/>
        <v>8.5714285714285715E-2</v>
      </c>
      <c r="Q47" s="28">
        <v>0.5</v>
      </c>
      <c r="R47" s="22">
        <f t="shared" si="6"/>
        <v>175000</v>
      </c>
      <c r="S47" s="21">
        <f t="shared" si="7"/>
        <v>15000</v>
      </c>
    </row>
    <row r="48" spans="1:19">
      <c r="A48">
        <v>52</v>
      </c>
      <c r="B48" s="50" t="s">
        <v>845</v>
      </c>
      <c r="C48" s="51" t="s">
        <v>814</v>
      </c>
      <c r="D48" s="10" t="s">
        <v>612</v>
      </c>
      <c r="E48" s="10"/>
      <c r="F48" s="10" t="s">
        <v>424</v>
      </c>
      <c r="G48" s="10" t="s">
        <v>613</v>
      </c>
      <c r="H48" s="10" t="s">
        <v>614</v>
      </c>
      <c r="I48" s="10" t="s">
        <v>615</v>
      </c>
      <c r="J48" s="14" t="s">
        <v>618</v>
      </c>
      <c r="K48" s="10" t="s">
        <v>617</v>
      </c>
      <c r="L48" s="11">
        <v>350000</v>
      </c>
      <c r="M48" s="11">
        <v>320000</v>
      </c>
      <c r="N48" s="11"/>
      <c r="O48" s="11">
        <f t="shared" si="4"/>
        <v>30000</v>
      </c>
      <c r="P48" s="12">
        <f t="shared" si="5"/>
        <v>8.5714285714285715E-2</v>
      </c>
      <c r="Q48" s="28">
        <v>0.5</v>
      </c>
      <c r="R48" s="22">
        <f t="shared" si="6"/>
        <v>175000</v>
      </c>
      <c r="S48" s="21">
        <f t="shared" si="7"/>
        <v>15000</v>
      </c>
    </row>
    <row r="49" spans="1:19">
      <c r="A49">
        <v>53</v>
      </c>
      <c r="B49" s="50" t="s">
        <v>847</v>
      </c>
      <c r="C49" s="51" t="s">
        <v>814</v>
      </c>
      <c r="D49" s="10" t="s">
        <v>634</v>
      </c>
      <c r="E49" s="10"/>
      <c r="F49" s="10" t="s">
        <v>424</v>
      </c>
      <c r="G49" s="10" t="s">
        <v>635</v>
      </c>
      <c r="H49" s="10" t="s">
        <v>636</v>
      </c>
      <c r="I49" s="10" t="s">
        <v>637</v>
      </c>
      <c r="J49" s="14" t="s">
        <v>638</v>
      </c>
      <c r="K49" s="10" t="s">
        <v>429</v>
      </c>
      <c r="L49" s="11">
        <v>350000</v>
      </c>
      <c r="M49" s="11">
        <v>320000</v>
      </c>
      <c r="N49" s="11"/>
      <c r="O49" s="11">
        <f t="shared" si="4"/>
        <v>30000</v>
      </c>
      <c r="P49" s="12">
        <f t="shared" si="5"/>
        <v>8.5714285714285715E-2</v>
      </c>
      <c r="Q49" s="28">
        <v>0.5</v>
      </c>
      <c r="R49" s="22">
        <f t="shared" si="6"/>
        <v>175000</v>
      </c>
      <c r="S49" s="21">
        <f t="shared" si="7"/>
        <v>15000</v>
      </c>
    </row>
    <row r="50" spans="1:19">
      <c r="A50">
        <v>54</v>
      </c>
      <c r="B50" s="50" t="s">
        <v>846</v>
      </c>
      <c r="C50" s="51" t="s">
        <v>814</v>
      </c>
      <c r="D50" s="10" t="s">
        <v>151</v>
      </c>
      <c r="E50" s="10"/>
      <c r="F50" s="10" t="s">
        <v>639</v>
      </c>
      <c r="G50" s="10" t="s">
        <v>640</v>
      </c>
      <c r="H50" s="10" t="s">
        <v>16</v>
      </c>
      <c r="I50" s="10" t="s">
        <v>641</v>
      </c>
      <c r="J50" s="14" t="s">
        <v>642</v>
      </c>
      <c r="K50" s="10" t="s">
        <v>643</v>
      </c>
      <c r="L50" s="11">
        <v>720000</v>
      </c>
      <c r="M50" s="11">
        <v>620000</v>
      </c>
      <c r="N50" s="11"/>
      <c r="O50" s="11">
        <f t="shared" si="4"/>
        <v>100000</v>
      </c>
      <c r="P50" s="12">
        <f t="shared" si="5"/>
        <v>0.1388888888888889</v>
      </c>
      <c r="Q50" s="28">
        <v>1</v>
      </c>
      <c r="R50" s="22">
        <f t="shared" si="6"/>
        <v>720000</v>
      </c>
      <c r="S50" s="21">
        <f t="shared" si="7"/>
        <v>100000</v>
      </c>
    </row>
    <row r="51" spans="1:19">
      <c r="A51">
        <v>55</v>
      </c>
      <c r="B51" s="50" t="s">
        <v>846</v>
      </c>
      <c r="C51" s="51" t="s">
        <v>814</v>
      </c>
      <c r="D51" s="10"/>
      <c r="E51" s="10"/>
      <c r="F51" s="10"/>
      <c r="G51" s="10"/>
      <c r="H51" s="10" t="s">
        <v>62</v>
      </c>
      <c r="I51" s="10"/>
      <c r="J51" s="14" t="s">
        <v>644</v>
      </c>
      <c r="K51" s="10"/>
      <c r="L51" s="11">
        <v>0</v>
      </c>
      <c r="M51" s="11">
        <v>50000</v>
      </c>
      <c r="N51" s="11"/>
      <c r="O51" s="11">
        <f t="shared" si="4"/>
        <v>-50000</v>
      </c>
      <c r="P51" s="12">
        <f t="shared" si="5"/>
        <v>0</v>
      </c>
      <c r="Q51" s="28">
        <v>1</v>
      </c>
      <c r="R51" s="22">
        <f t="shared" si="6"/>
        <v>0</v>
      </c>
      <c r="S51" s="21">
        <f t="shared" si="7"/>
        <v>-50000</v>
      </c>
    </row>
    <row r="52" spans="1:19">
      <c r="A52">
        <v>56</v>
      </c>
      <c r="B52" s="50" t="s">
        <v>846</v>
      </c>
      <c r="C52" s="51" t="s">
        <v>814</v>
      </c>
      <c r="D52" s="10" t="s">
        <v>651</v>
      </c>
      <c r="E52" s="10"/>
      <c r="F52" s="10" t="s">
        <v>591</v>
      </c>
      <c r="G52" s="10" t="s">
        <v>652</v>
      </c>
      <c r="H52" s="10" t="s">
        <v>141</v>
      </c>
      <c r="I52" s="10" t="s">
        <v>653</v>
      </c>
      <c r="J52" s="14" t="s">
        <v>654</v>
      </c>
      <c r="K52" s="10" t="s">
        <v>655</v>
      </c>
      <c r="L52" s="11">
        <v>600000</v>
      </c>
      <c r="M52" s="11">
        <v>570000</v>
      </c>
      <c r="N52" s="11"/>
      <c r="O52" s="11">
        <f t="shared" si="4"/>
        <v>30000</v>
      </c>
      <c r="P52" s="12">
        <f t="shared" si="5"/>
        <v>0.05</v>
      </c>
      <c r="Q52" s="28">
        <v>1</v>
      </c>
      <c r="R52" s="22">
        <f t="shared" si="6"/>
        <v>600000</v>
      </c>
      <c r="S52" s="21">
        <f t="shared" si="7"/>
        <v>30000</v>
      </c>
    </row>
    <row r="53" spans="1:19">
      <c r="A53">
        <v>58</v>
      </c>
      <c r="B53" s="50" t="s">
        <v>849</v>
      </c>
      <c r="C53" s="51" t="s">
        <v>814</v>
      </c>
      <c r="D53" s="10" t="s">
        <v>682</v>
      </c>
      <c r="E53" s="10"/>
      <c r="F53" s="10" t="s">
        <v>683</v>
      </c>
      <c r="G53" s="10" t="s">
        <v>684</v>
      </c>
      <c r="H53" s="10" t="s">
        <v>16</v>
      </c>
      <c r="I53" s="10" t="s">
        <v>685</v>
      </c>
      <c r="J53" s="14" t="s">
        <v>686</v>
      </c>
      <c r="K53" s="10" t="s">
        <v>687</v>
      </c>
      <c r="L53" s="11">
        <v>680000</v>
      </c>
      <c r="M53" s="11">
        <v>580000</v>
      </c>
      <c r="N53" s="11"/>
      <c r="O53" s="11">
        <f t="shared" si="4"/>
        <v>100000</v>
      </c>
      <c r="P53" s="12">
        <f t="shared" si="5"/>
        <v>0.14705882352941177</v>
      </c>
      <c r="Q53" s="28">
        <v>1</v>
      </c>
      <c r="R53" s="22">
        <f t="shared" si="6"/>
        <v>680000</v>
      </c>
      <c r="S53" s="21">
        <f t="shared" si="7"/>
        <v>100000</v>
      </c>
    </row>
    <row r="54" spans="1:19">
      <c r="A54">
        <v>59</v>
      </c>
      <c r="B54" s="50" t="s">
        <v>849</v>
      </c>
      <c r="C54" s="51" t="s">
        <v>814</v>
      </c>
      <c r="D54" s="10"/>
      <c r="E54" s="10"/>
      <c r="F54" s="10"/>
      <c r="G54" s="10"/>
      <c r="H54" s="10" t="s">
        <v>62</v>
      </c>
      <c r="I54" s="10"/>
      <c r="J54" s="14" t="s">
        <v>688</v>
      </c>
      <c r="K54" s="10"/>
      <c r="L54" s="11">
        <v>0</v>
      </c>
      <c r="M54" s="11">
        <v>50000</v>
      </c>
      <c r="N54" s="11"/>
      <c r="O54" s="11">
        <f t="shared" si="4"/>
        <v>-50000</v>
      </c>
      <c r="P54" s="12">
        <f t="shared" si="5"/>
        <v>0</v>
      </c>
      <c r="Q54" s="28">
        <v>1</v>
      </c>
      <c r="R54" s="22">
        <f t="shared" si="6"/>
        <v>0</v>
      </c>
      <c r="S54" s="21">
        <f t="shared" si="7"/>
        <v>-50000</v>
      </c>
    </row>
    <row r="55" spans="1:19">
      <c r="A55">
        <v>60</v>
      </c>
      <c r="B55" s="50" t="s">
        <v>850</v>
      </c>
      <c r="C55" s="51" t="s">
        <v>814</v>
      </c>
      <c r="D55" s="10" t="s">
        <v>695</v>
      </c>
      <c r="E55" s="10"/>
      <c r="F55" s="10" t="s">
        <v>591</v>
      </c>
      <c r="G55" s="10" t="s">
        <v>696</v>
      </c>
      <c r="H55" s="10" t="s">
        <v>503</v>
      </c>
      <c r="I55" s="10" t="s">
        <v>504</v>
      </c>
      <c r="J55" s="14" t="s">
        <v>697</v>
      </c>
      <c r="K55" s="10" t="s">
        <v>698</v>
      </c>
      <c r="L55" s="11">
        <v>590000</v>
      </c>
      <c r="M55" s="11">
        <v>550000</v>
      </c>
      <c r="N55" s="11"/>
      <c r="O55" s="11">
        <f t="shared" si="4"/>
        <v>40000</v>
      </c>
      <c r="P55" s="12">
        <f t="shared" si="5"/>
        <v>6.7796610169491525E-2</v>
      </c>
      <c r="Q55" s="28">
        <v>1</v>
      </c>
      <c r="R55" s="22">
        <f t="shared" si="6"/>
        <v>590000</v>
      </c>
      <c r="S55" s="21">
        <f t="shared" si="7"/>
        <v>40000</v>
      </c>
    </row>
    <row r="56" spans="1:19">
      <c r="A56">
        <v>61</v>
      </c>
      <c r="B56" s="50" t="s">
        <v>814</v>
      </c>
      <c r="C56" s="51" t="s">
        <v>777</v>
      </c>
      <c r="D56" s="10" t="s">
        <v>151</v>
      </c>
      <c r="E56" s="10"/>
      <c r="F56" s="10" t="s">
        <v>591</v>
      </c>
      <c r="G56" s="10" t="s">
        <v>705</v>
      </c>
      <c r="H56" s="10" t="s">
        <v>16</v>
      </c>
      <c r="I56" s="10" t="s">
        <v>706</v>
      </c>
      <c r="J56" s="14" t="s">
        <v>707</v>
      </c>
      <c r="K56" s="10" t="s">
        <v>526</v>
      </c>
      <c r="L56" s="11">
        <v>690000</v>
      </c>
      <c r="M56" s="11">
        <v>600000</v>
      </c>
      <c r="N56" s="11"/>
      <c r="O56" s="11">
        <f t="shared" si="4"/>
        <v>90000</v>
      </c>
      <c r="P56" s="12">
        <f t="shared" si="5"/>
        <v>0.13043478260869565</v>
      </c>
      <c r="Q56" s="28">
        <v>1</v>
      </c>
      <c r="R56" s="22">
        <f t="shared" si="6"/>
        <v>690000</v>
      </c>
      <c r="S56" s="21">
        <f t="shared" si="7"/>
        <v>90000</v>
      </c>
    </row>
    <row r="57" spans="1:19">
      <c r="A57">
        <v>62</v>
      </c>
      <c r="B57" s="50" t="s">
        <v>814</v>
      </c>
      <c r="C57" s="51" t="s">
        <v>777</v>
      </c>
      <c r="D57" s="10"/>
      <c r="E57" s="10"/>
      <c r="F57" s="10"/>
      <c r="G57" s="10"/>
      <c r="H57" s="10" t="s">
        <v>708</v>
      </c>
      <c r="I57" s="10"/>
      <c r="J57" s="14" t="s">
        <v>709</v>
      </c>
      <c r="K57" s="10"/>
      <c r="L57" s="11">
        <v>0</v>
      </c>
      <c r="M57" s="11">
        <v>50000</v>
      </c>
      <c r="N57" s="11"/>
      <c r="O57" s="11">
        <f t="shared" si="4"/>
        <v>-50000</v>
      </c>
      <c r="P57" s="12">
        <f t="shared" si="5"/>
        <v>0</v>
      </c>
      <c r="Q57" s="28">
        <v>1</v>
      </c>
      <c r="R57" s="22">
        <f t="shared" si="6"/>
        <v>0</v>
      </c>
      <c r="S57" s="21">
        <f t="shared" si="7"/>
        <v>-50000</v>
      </c>
    </row>
    <row r="58" spans="1:19">
      <c r="A58">
        <v>64</v>
      </c>
      <c r="B58" s="50" t="s">
        <v>853</v>
      </c>
      <c r="C58" s="51" t="s">
        <v>785</v>
      </c>
      <c r="D58" s="10" t="s">
        <v>742</v>
      </c>
      <c r="E58" s="10"/>
      <c r="F58" s="10" t="s">
        <v>743</v>
      </c>
      <c r="G58" s="10" t="s">
        <v>744</v>
      </c>
      <c r="H58" s="10" t="s">
        <v>16</v>
      </c>
      <c r="I58" s="10" t="s">
        <v>745</v>
      </c>
      <c r="J58" s="14" t="s">
        <v>746</v>
      </c>
      <c r="K58" s="10" t="s">
        <v>350</v>
      </c>
      <c r="L58" s="11">
        <v>670000</v>
      </c>
      <c r="M58" s="11">
        <v>570000</v>
      </c>
      <c r="N58" s="11"/>
      <c r="O58" s="11">
        <f t="shared" si="4"/>
        <v>100000</v>
      </c>
      <c r="P58" s="12">
        <f t="shared" si="5"/>
        <v>0.14925373134328357</v>
      </c>
      <c r="Q58" s="28">
        <v>1</v>
      </c>
      <c r="R58" s="22">
        <f t="shared" si="6"/>
        <v>670000</v>
      </c>
      <c r="S58" s="21">
        <f t="shared" si="7"/>
        <v>100000</v>
      </c>
    </row>
    <row r="59" spans="1:19">
      <c r="A59">
        <v>65</v>
      </c>
      <c r="B59" s="50" t="s">
        <v>853</v>
      </c>
      <c r="C59" s="51" t="s">
        <v>785</v>
      </c>
      <c r="D59" s="10"/>
      <c r="E59" s="10"/>
      <c r="F59" s="10"/>
      <c r="G59" s="10"/>
      <c r="H59" s="10" t="s">
        <v>62</v>
      </c>
      <c r="I59" s="10"/>
      <c r="J59" s="14" t="s">
        <v>747</v>
      </c>
      <c r="K59" s="10"/>
      <c r="L59" s="11">
        <v>0</v>
      </c>
      <c r="M59" s="11">
        <v>50000</v>
      </c>
      <c r="N59" s="11"/>
      <c r="O59" s="11">
        <f t="shared" si="4"/>
        <v>-50000</v>
      </c>
      <c r="P59" s="12">
        <f t="shared" si="5"/>
        <v>0</v>
      </c>
      <c r="Q59" s="28">
        <v>1</v>
      </c>
      <c r="R59" s="22">
        <f t="shared" si="6"/>
        <v>0</v>
      </c>
      <c r="S59" s="21">
        <f t="shared" si="7"/>
        <v>-50000</v>
      </c>
    </row>
    <row r="60" spans="1:19">
      <c r="A60">
        <v>66</v>
      </c>
      <c r="B60" s="52" t="s">
        <v>852</v>
      </c>
      <c r="C60" s="53" t="s">
        <v>785</v>
      </c>
      <c r="D60" s="3" t="s">
        <v>753</v>
      </c>
      <c r="E60" s="3"/>
      <c r="F60" s="3" t="s">
        <v>754</v>
      </c>
      <c r="G60" s="3" t="s">
        <v>755</v>
      </c>
      <c r="H60" s="3" t="s">
        <v>756</v>
      </c>
      <c r="I60" s="3" t="s">
        <v>757</v>
      </c>
      <c r="J60" s="46" t="s">
        <v>758</v>
      </c>
      <c r="K60" s="10" t="s">
        <v>759</v>
      </c>
      <c r="L60" s="11">
        <v>680000</v>
      </c>
      <c r="M60" s="11">
        <v>650000</v>
      </c>
      <c r="N60" s="11"/>
      <c r="O60" s="11">
        <f t="shared" si="4"/>
        <v>30000</v>
      </c>
      <c r="P60" s="12">
        <f t="shared" si="5"/>
        <v>4.4117647058823532E-2</v>
      </c>
      <c r="Q60" s="28">
        <v>1</v>
      </c>
      <c r="R60" s="22">
        <f t="shared" si="6"/>
        <v>680000</v>
      </c>
      <c r="S60" s="21">
        <f t="shared" si="7"/>
        <v>30000</v>
      </c>
    </row>
    <row r="61" spans="1:19">
      <c r="K61" s="4" t="s">
        <v>13</v>
      </c>
      <c r="L61" s="5">
        <f>SUM(L5:L60)-SUM(0)</f>
        <v>23395000</v>
      </c>
      <c r="M61" s="5">
        <f>SUM(M5:M60)-SUM(0)</f>
        <v>20990000</v>
      </c>
      <c r="N61" s="5">
        <f>SUM(N5:N60)-SUM(0)</f>
        <v>0</v>
      </c>
      <c r="O61" s="5">
        <f>SUM(O5:O60)-SUM(0)</f>
        <v>2405000</v>
      </c>
      <c r="P61" s="25">
        <f>O61/L61</f>
        <v>0.10279974353494337</v>
      </c>
      <c r="Q61" s="18">
        <f>SUM(Q5:Q60)-SUM(0)</f>
        <v>45.5</v>
      </c>
      <c r="R61" s="23">
        <f>SUM(R5:R60)-SUM(0)</f>
        <v>18977500</v>
      </c>
      <c r="S61" s="23">
        <f>SUM(S5:S60)-SUM(0)</f>
        <v>1877500</v>
      </c>
    </row>
    <row r="63" spans="1:19">
      <c r="L63" s="15" t="s">
        <v>19</v>
      </c>
      <c r="M63" s="15">
        <f>R61/Q61</f>
        <v>417087.91208791209</v>
      </c>
    </row>
    <row r="64" spans="1:19">
      <c r="L64" s="15" t="s">
        <v>20</v>
      </c>
      <c r="M64" s="15">
        <f>S61/Q61</f>
        <v>41263.73626373626</v>
      </c>
    </row>
    <row r="65" spans="12:13">
      <c r="L65" s="15" t="s">
        <v>21</v>
      </c>
      <c r="M65" s="17">
        <f>Q61</f>
        <v>45.5</v>
      </c>
    </row>
    <row r="66" spans="12:13">
      <c r="L66" s="15" t="s">
        <v>80</v>
      </c>
      <c r="M66" s="17">
        <v>9.5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S32"/>
  <sheetViews>
    <sheetView zoomScaleNormal="100" workbookViewId="0">
      <pane ySplit="4" topLeftCell="A8" activePane="bottomLeft" state="frozen"/>
      <selection pane="bottomLeft" activeCell="B5" sqref="B5:B26"/>
    </sheetView>
  </sheetViews>
  <sheetFormatPr defaultRowHeight="13.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  <col min="20" max="21" width="14" bestFit="1" customWidth="1"/>
  </cols>
  <sheetData>
    <row r="4" spans="1:19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24" t="s">
        <v>12</v>
      </c>
      <c r="Q4" s="26" t="s">
        <v>37</v>
      </c>
      <c r="R4" s="26" t="s">
        <v>38</v>
      </c>
      <c r="S4" s="20" t="s">
        <v>39</v>
      </c>
    </row>
    <row r="5" spans="1:19">
      <c r="A5">
        <v>2</v>
      </c>
      <c r="B5" s="50" t="s">
        <v>830</v>
      </c>
      <c r="C5" s="51" t="s">
        <v>861</v>
      </c>
      <c r="D5" s="10" t="s">
        <v>450</v>
      </c>
      <c r="E5" s="10"/>
      <c r="F5" s="10" t="s">
        <v>451</v>
      </c>
      <c r="G5" s="10" t="s">
        <v>452</v>
      </c>
      <c r="H5" s="10" t="s">
        <v>453</v>
      </c>
      <c r="I5" s="10" t="s">
        <v>454</v>
      </c>
      <c r="J5" s="14" t="s">
        <v>455</v>
      </c>
      <c r="K5" s="10" t="s">
        <v>456</v>
      </c>
      <c r="L5" s="11">
        <v>670000</v>
      </c>
      <c r="M5" s="11">
        <v>640000</v>
      </c>
      <c r="N5" s="11"/>
      <c r="O5" s="11">
        <f t="shared" ref="O5:O26" si="0">L5-M5-N5</f>
        <v>30000</v>
      </c>
      <c r="P5" s="12">
        <f t="shared" ref="P5:P26" si="1">IF(VALUE(L5)&lt;=0,0,O5/L5)</f>
        <v>4.4776119402985072E-2</v>
      </c>
      <c r="Q5" s="28">
        <v>1</v>
      </c>
      <c r="R5" s="22">
        <f t="shared" ref="R5:R26" si="2">L5*Q5</f>
        <v>670000</v>
      </c>
      <c r="S5" s="21">
        <f t="shared" ref="S5:S26" si="3">Q5*O5</f>
        <v>30000</v>
      </c>
    </row>
    <row r="6" spans="1:19">
      <c r="A6">
        <v>4</v>
      </c>
      <c r="B6" s="50" t="s">
        <v>832</v>
      </c>
      <c r="C6" s="51" t="s">
        <v>878</v>
      </c>
      <c r="D6" s="10" t="s">
        <v>464</v>
      </c>
      <c r="E6" s="10"/>
      <c r="F6" s="10" t="s">
        <v>465</v>
      </c>
      <c r="G6" s="10" t="s">
        <v>466</v>
      </c>
      <c r="H6" s="10" t="s">
        <v>467</v>
      </c>
      <c r="I6" s="10" t="s">
        <v>468</v>
      </c>
      <c r="J6" s="14" t="s">
        <v>469</v>
      </c>
      <c r="K6" s="10" t="s">
        <v>93</v>
      </c>
      <c r="L6" s="11">
        <v>640000</v>
      </c>
      <c r="M6" s="11">
        <v>610000</v>
      </c>
      <c r="N6" s="11"/>
      <c r="O6" s="11">
        <f t="shared" si="0"/>
        <v>30000</v>
      </c>
      <c r="P6" s="12">
        <f t="shared" si="1"/>
        <v>4.6875E-2</v>
      </c>
      <c r="Q6" s="28">
        <v>1</v>
      </c>
      <c r="R6" s="22">
        <f t="shared" si="2"/>
        <v>640000</v>
      </c>
      <c r="S6" s="21">
        <f t="shared" si="3"/>
        <v>30000</v>
      </c>
    </row>
    <row r="7" spans="1:19">
      <c r="A7">
        <v>5</v>
      </c>
      <c r="B7" s="50" t="s">
        <v>831</v>
      </c>
      <c r="C7" s="51" t="s">
        <v>862</v>
      </c>
      <c r="D7" s="10" t="s">
        <v>470</v>
      </c>
      <c r="E7" s="10"/>
      <c r="F7" s="10" t="s">
        <v>329</v>
      </c>
      <c r="G7" s="10" t="s">
        <v>471</v>
      </c>
      <c r="H7" s="10" t="s">
        <v>472</v>
      </c>
      <c r="I7" s="10" t="s">
        <v>473</v>
      </c>
      <c r="J7" s="14" t="s">
        <v>474</v>
      </c>
      <c r="K7" s="10" t="s">
        <v>475</v>
      </c>
      <c r="L7" s="11">
        <v>680000</v>
      </c>
      <c r="M7" s="11">
        <v>650000</v>
      </c>
      <c r="N7" s="11"/>
      <c r="O7" s="11">
        <f t="shared" si="0"/>
        <v>30000</v>
      </c>
      <c r="P7" s="12">
        <f t="shared" si="1"/>
        <v>4.4117647058823532E-2</v>
      </c>
      <c r="Q7" s="28">
        <v>0.5</v>
      </c>
      <c r="R7" s="22">
        <f t="shared" si="2"/>
        <v>340000</v>
      </c>
      <c r="S7" s="21">
        <f t="shared" si="3"/>
        <v>15000</v>
      </c>
    </row>
    <row r="8" spans="1:19">
      <c r="A8">
        <v>6</v>
      </c>
      <c r="B8" s="50" t="s">
        <v>832</v>
      </c>
      <c r="C8" s="51" t="s">
        <v>872</v>
      </c>
      <c r="D8" s="10"/>
      <c r="E8" s="10"/>
      <c r="F8" s="10" t="s">
        <v>476</v>
      </c>
      <c r="G8" s="10" t="s">
        <v>477</v>
      </c>
      <c r="H8" s="10" t="s">
        <v>478</v>
      </c>
      <c r="I8" s="10" t="s">
        <v>479</v>
      </c>
      <c r="J8" s="14" t="s">
        <v>480</v>
      </c>
      <c r="K8" s="10" t="s">
        <v>23</v>
      </c>
      <c r="L8" s="11">
        <v>780000</v>
      </c>
      <c r="M8" s="11">
        <v>750000</v>
      </c>
      <c r="N8" s="11"/>
      <c r="O8" s="11">
        <f t="shared" si="0"/>
        <v>30000</v>
      </c>
      <c r="P8" s="12">
        <f t="shared" si="1"/>
        <v>3.8461538461538464E-2</v>
      </c>
      <c r="Q8" s="28">
        <v>1</v>
      </c>
      <c r="R8" s="22">
        <f t="shared" si="2"/>
        <v>780000</v>
      </c>
      <c r="S8" s="21">
        <f t="shared" si="3"/>
        <v>30000</v>
      </c>
    </row>
    <row r="9" spans="1:19">
      <c r="A9">
        <v>11</v>
      </c>
      <c r="B9" s="50" t="s">
        <v>839</v>
      </c>
      <c r="C9" s="51" t="s">
        <v>862</v>
      </c>
      <c r="D9" s="10" t="s">
        <v>541</v>
      </c>
      <c r="E9" s="10"/>
      <c r="F9" s="10" t="s">
        <v>542</v>
      </c>
      <c r="G9" s="10" t="s">
        <v>543</v>
      </c>
      <c r="H9" s="10" t="s">
        <v>544</v>
      </c>
      <c r="I9" s="10" t="s">
        <v>545</v>
      </c>
      <c r="J9" s="14" t="s">
        <v>546</v>
      </c>
      <c r="K9" s="10" t="s">
        <v>547</v>
      </c>
      <c r="L9" s="11">
        <v>630000</v>
      </c>
      <c r="M9" s="11">
        <v>600000</v>
      </c>
      <c r="N9" s="11"/>
      <c r="O9" s="11">
        <f t="shared" si="0"/>
        <v>30000</v>
      </c>
      <c r="P9" s="12">
        <f t="shared" si="1"/>
        <v>4.7619047619047616E-2</v>
      </c>
      <c r="Q9" s="28">
        <v>0.5</v>
      </c>
      <c r="R9" s="22">
        <f t="shared" si="2"/>
        <v>315000</v>
      </c>
      <c r="S9" s="21">
        <f t="shared" si="3"/>
        <v>15000</v>
      </c>
    </row>
    <row r="10" spans="1:19">
      <c r="A10">
        <v>12</v>
      </c>
      <c r="B10" s="50" t="s">
        <v>841</v>
      </c>
      <c r="C10" s="51" t="s">
        <v>862</v>
      </c>
      <c r="D10" s="10" t="s">
        <v>527</v>
      </c>
      <c r="E10" s="10"/>
      <c r="F10" s="10" t="s">
        <v>574</v>
      </c>
      <c r="G10" s="10" t="s">
        <v>575</v>
      </c>
      <c r="H10" s="10" t="s">
        <v>430</v>
      </c>
      <c r="I10" s="10" t="s">
        <v>431</v>
      </c>
      <c r="J10" s="14" t="s">
        <v>576</v>
      </c>
      <c r="K10" s="10" t="s">
        <v>577</v>
      </c>
      <c r="L10" s="11">
        <v>580000</v>
      </c>
      <c r="M10" s="11">
        <v>540000</v>
      </c>
      <c r="N10" s="11"/>
      <c r="O10" s="11">
        <f t="shared" si="0"/>
        <v>40000</v>
      </c>
      <c r="P10" s="12">
        <f t="shared" si="1"/>
        <v>6.8965517241379309E-2</v>
      </c>
      <c r="Q10" s="28">
        <v>1</v>
      </c>
      <c r="R10" s="22">
        <f t="shared" si="2"/>
        <v>580000</v>
      </c>
      <c r="S10" s="21">
        <f t="shared" si="3"/>
        <v>40000</v>
      </c>
    </row>
    <row r="11" spans="1:19">
      <c r="A11">
        <v>13</v>
      </c>
      <c r="B11" s="50" t="s">
        <v>843</v>
      </c>
      <c r="C11" s="51" t="s">
        <v>874</v>
      </c>
      <c r="D11" s="10" t="s">
        <v>601</v>
      </c>
      <c r="E11" s="10"/>
      <c r="F11" s="10" t="s">
        <v>602</v>
      </c>
      <c r="G11" s="10" t="s">
        <v>603</v>
      </c>
      <c r="H11" s="10" t="s">
        <v>604</v>
      </c>
      <c r="I11" s="10" t="s">
        <v>605</v>
      </c>
      <c r="J11" s="14" t="s">
        <v>606</v>
      </c>
      <c r="K11" s="10" t="s">
        <v>607</v>
      </c>
      <c r="L11" s="11">
        <v>645000</v>
      </c>
      <c r="M11" s="11">
        <v>620000</v>
      </c>
      <c r="N11" s="11"/>
      <c r="O11" s="11">
        <f t="shared" si="0"/>
        <v>25000</v>
      </c>
      <c r="P11" s="12">
        <f t="shared" si="1"/>
        <v>3.875968992248062E-2</v>
      </c>
      <c r="Q11" s="28">
        <v>1</v>
      </c>
      <c r="R11" s="22">
        <f t="shared" si="2"/>
        <v>645000</v>
      </c>
      <c r="S11" s="21">
        <f t="shared" si="3"/>
        <v>25000</v>
      </c>
    </row>
    <row r="12" spans="1:19">
      <c r="A12">
        <v>14</v>
      </c>
      <c r="B12" s="50" t="s">
        <v>844</v>
      </c>
      <c r="C12" s="51" t="s">
        <v>873</v>
      </c>
      <c r="D12" s="10" t="s">
        <v>601</v>
      </c>
      <c r="E12" s="10"/>
      <c r="F12" s="10" t="s">
        <v>602</v>
      </c>
      <c r="G12" s="10" t="s">
        <v>603</v>
      </c>
      <c r="H12" s="10" t="s">
        <v>608</v>
      </c>
      <c r="I12" s="10" t="s">
        <v>609</v>
      </c>
      <c r="J12" s="14" t="s">
        <v>610</v>
      </c>
      <c r="K12" s="10" t="s">
        <v>611</v>
      </c>
      <c r="L12" s="11">
        <v>570000</v>
      </c>
      <c r="M12" s="11">
        <v>540000</v>
      </c>
      <c r="N12" s="11"/>
      <c r="O12" s="11">
        <f t="shared" si="0"/>
        <v>30000</v>
      </c>
      <c r="P12" s="12">
        <f t="shared" si="1"/>
        <v>5.2631578947368418E-2</v>
      </c>
      <c r="Q12" s="28">
        <v>1</v>
      </c>
      <c r="R12" s="22">
        <f t="shared" si="2"/>
        <v>570000</v>
      </c>
      <c r="S12" s="21">
        <f t="shared" si="3"/>
        <v>30000</v>
      </c>
    </row>
    <row r="13" spans="1:19">
      <c r="A13">
        <v>15</v>
      </c>
      <c r="B13" s="50" t="s">
        <v>845</v>
      </c>
      <c r="C13" s="51" t="s">
        <v>814</v>
      </c>
      <c r="D13" s="10" t="s">
        <v>612</v>
      </c>
      <c r="E13" s="10"/>
      <c r="F13" s="10" t="s">
        <v>424</v>
      </c>
      <c r="G13" s="10" t="s">
        <v>613</v>
      </c>
      <c r="H13" s="10" t="s">
        <v>614</v>
      </c>
      <c r="I13" s="10" t="s">
        <v>615</v>
      </c>
      <c r="J13" s="14" t="s">
        <v>616</v>
      </c>
      <c r="K13" s="10" t="s">
        <v>617</v>
      </c>
      <c r="L13" s="11">
        <v>350000</v>
      </c>
      <c r="M13" s="11">
        <v>320000</v>
      </c>
      <c r="N13" s="11"/>
      <c r="O13" s="11">
        <f t="shared" si="0"/>
        <v>30000</v>
      </c>
      <c r="P13" s="12">
        <f t="shared" si="1"/>
        <v>8.5714285714285715E-2</v>
      </c>
      <c r="Q13" s="28">
        <v>0.5</v>
      </c>
      <c r="R13" s="22">
        <f t="shared" si="2"/>
        <v>175000</v>
      </c>
      <c r="S13" s="21">
        <f t="shared" si="3"/>
        <v>15000</v>
      </c>
    </row>
    <row r="14" spans="1:19">
      <c r="A14">
        <v>16</v>
      </c>
      <c r="B14" s="50" t="s">
        <v>845</v>
      </c>
      <c r="C14" s="51" t="s">
        <v>814</v>
      </c>
      <c r="D14" s="10" t="s">
        <v>612</v>
      </c>
      <c r="E14" s="10"/>
      <c r="F14" s="10" t="s">
        <v>424</v>
      </c>
      <c r="G14" s="10" t="s">
        <v>613</v>
      </c>
      <c r="H14" s="10" t="s">
        <v>614</v>
      </c>
      <c r="I14" s="10" t="s">
        <v>615</v>
      </c>
      <c r="J14" s="14" t="s">
        <v>618</v>
      </c>
      <c r="K14" s="10" t="s">
        <v>617</v>
      </c>
      <c r="L14" s="11">
        <v>350000</v>
      </c>
      <c r="M14" s="11">
        <v>320000</v>
      </c>
      <c r="N14" s="11"/>
      <c r="O14" s="11">
        <f t="shared" si="0"/>
        <v>30000</v>
      </c>
      <c r="P14" s="12">
        <f t="shared" si="1"/>
        <v>8.5714285714285715E-2</v>
      </c>
      <c r="Q14" s="28">
        <v>0.5</v>
      </c>
      <c r="R14" s="22">
        <f t="shared" si="2"/>
        <v>175000</v>
      </c>
      <c r="S14" s="21">
        <f t="shared" si="3"/>
        <v>15000</v>
      </c>
    </row>
    <row r="15" spans="1:19">
      <c r="A15">
        <v>17</v>
      </c>
      <c r="B15" s="50" t="s">
        <v>846</v>
      </c>
      <c r="C15" s="51" t="s">
        <v>873</v>
      </c>
      <c r="D15" s="10" t="s">
        <v>619</v>
      </c>
      <c r="E15" s="10" t="s">
        <v>620</v>
      </c>
      <c r="F15" s="10" t="s">
        <v>465</v>
      </c>
      <c r="G15" s="10" t="s">
        <v>621</v>
      </c>
      <c r="H15" s="10" t="s">
        <v>622</v>
      </c>
      <c r="I15" s="10" t="s">
        <v>623</v>
      </c>
      <c r="J15" s="14" t="s">
        <v>624</v>
      </c>
      <c r="K15" s="10" t="s">
        <v>625</v>
      </c>
      <c r="L15" s="11">
        <v>670000</v>
      </c>
      <c r="M15" s="11">
        <v>640000</v>
      </c>
      <c r="N15" s="11"/>
      <c r="O15" s="11">
        <f t="shared" si="0"/>
        <v>30000</v>
      </c>
      <c r="P15" s="12">
        <f t="shared" si="1"/>
        <v>4.4776119402985072E-2</v>
      </c>
      <c r="Q15" s="28">
        <v>1</v>
      </c>
      <c r="R15" s="22">
        <f t="shared" si="2"/>
        <v>670000</v>
      </c>
      <c r="S15" s="21">
        <f t="shared" si="3"/>
        <v>30000</v>
      </c>
    </row>
    <row r="16" spans="1:19">
      <c r="A16">
        <v>18</v>
      </c>
      <c r="B16" s="50" t="s">
        <v>846</v>
      </c>
      <c r="C16" s="51" t="s">
        <v>873</v>
      </c>
      <c r="D16" s="10" t="s">
        <v>619</v>
      </c>
      <c r="E16" s="10" t="s">
        <v>620</v>
      </c>
      <c r="F16" s="10" t="s">
        <v>465</v>
      </c>
      <c r="G16" s="10" t="s">
        <v>621</v>
      </c>
      <c r="H16" s="10" t="s">
        <v>58</v>
      </c>
      <c r="I16" s="10" t="s">
        <v>626</v>
      </c>
      <c r="J16" s="14" t="s">
        <v>627</v>
      </c>
      <c r="K16" s="10" t="s">
        <v>625</v>
      </c>
      <c r="L16" s="11">
        <v>600000</v>
      </c>
      <c r="M16" s="11">
        <v>550000</v>
      </c>
      <c r="N16" s="11"/>
      <c r="O16" s="11">
        <f t="shared" si="0"/>
        <v>50000</v>
      </c>
      <c r="P16" s="12">
        <f t="shared" si="1"/>
        <v>8.3333333333333329E-2</v>
      </c>
      <c r="Q16" s="28">
        <v>0.5</v>
      </c>
      <c r="R16" s="22">
        <f t="shared" si="2"/>
        <v>300000</v>
      </c>
      <c r="S16" s="21">
        <f t="shared" si="3"/>
        <v>25000</v>
      </c>
    </row>
    <row r="17" spans="1:19">
      <c r="A17">
        <v>20</v>
      </c>
      <c r="B17" s="50" t="s">
        <v>847</v>
      </c>
      <c r="C17" s="51" t="s">
        <v>814</v>
      </c>
      <c r="D17" s="10" t="s">
        <v>634</v>
      </c>
      <c r="E17" s="10"/>
      <c r="F17" s="10" t="s">
        <v>424</v>
      </c>
      <c r="G17" s="10" t="s">
        <v>635</v>
      </c>
      <c r="H17" s="10" t="s">
        <v>636</v>
      </c>
      <c r="I17" s="10" t="s">
        <v>637</v>
      </c>
      <c r="J17" s="14" t="s">
        <v>638</v>
      </c>
      <c r="K17" s="10" t="s">
        <v>429</v>
      </c>
      <c r="L17" s="11">
        <v>350000</v>
      </c>
      <c r="M17" s="11">
        <v>320000</v>
      </c>
      <c r="N17" s="11"/>
      <c r="O17" s="11">
        <f t="shared" si="0"/>
        <v>30000</v>
      </c>
      <c r="P17" s="12">
        <f t="shared" si="1"/>
        <v>8.5714285714285715E-2</v>
      </c>
      <c r="Q17" s="28">
        <v>0.5</v>
      </c>
      <c r="R17" s="22">
        <f t="shared" si="2"/>
        <v>175000</v>
      </c>
      <c r="S17" s="21">
        <f t="shared" si="3"/>
        <v>15000</v>
      </c>
    </row>
    <row r="18" spans="1:19">
      <c r="A18">
        <v>21</v>
      </c>
      <c r="B18" s="50" t="s">
        <v>848</v>
      </c>
      <c r="C18" s="51" t="s">
        <v>873</v>
      </c>
      <c r="D18" s="10" t="s">
        <v>645</v>
      </c>
      <c r="E18" s="10"/>
      <c r="F18" s="10" t="s">
        <v>646</v>
      </c>
      <c r="G18" s="10" t="s">
        <v>647</v>
      </c>
      <c r="H18" s="10" t="s">
        <v>648</v>
      </c>
      <c r="I18" s="10" t="s">
        <v>649</v>
      </c>
      <c r="J18" s="14" t="s">
        <v>650</v>
      </c>
      <c r="K18" s="10" t="s">
        <v>199</v>
      </c>
      <c r="L18" s="11">
        <v>390000</v>
      </c>
      <c r="M18" s="11">
        <v>360000</v>
      </c>
      <c r="N18" s="11"/>
      <c r="O18" s="11">
        <f t="shared" si="0"/>
        <v>30000</v>
      </c>
      <c r="P18" s="12">
        <f t="shared" si="1"/>
        <v>7.6923076923076927E-2</v>
      </c>
      <c r="Q18" s="28">
        <v>1</v>
      </c>
      <c r="R18" s="22">
        <f t="shared" si="2"/>
        <v>390000</v>
      </c>
      <c r="S18" s="21">
        <f t="shared" si="3"/>
        <v>30000</v>
      </c>
    </row>
    <row r="19" spans="1:19">
      <c r="A19">
        <v>22</v>
      </c>
      <c r="B19" s="50" t="s">
        <v>846</v>
      </c>
      <c r="C19" s="51" t="s">
        <v>814</v>
      </c>
      <c r="D19" s="10" t="s">
        <v>656</v>
      </c>
      <c r="E19" s="10"/>
      <c r="F19" s="10" t="s">
        <v>657</v>
      </c>
      <c r="G19" s="10" t="s">
        <v>658</v>
      </c>
      <c r="H19" s="10" t="s">
        <v>659</v>
      </c>
      <c r="I19" s="10" t="s">
        <v>660</v>
      </c>
      <c r="J19" s="14" t="s">
        <v>661</v>
      </c>
      <c r="K19" s="10" t="s">
        <v>662</v>
      </c>
      <c r="L19" s="11">
        <v>580000</v>
      </c>
      <c r="M19" s="11">
        <v>550000</v>
      </c>
      <c r="N19" s="11"/>
      <c r="O19" s="11">
        <f t="shared" si="0"/>
        <v>30000</v>
      </c>
      <c r="P19" s="12">
        <f t="shared" si="1"/>
        <v>5.1724137931034482E-2</v>
      </c>
      <c r="Q19" s="28">
        <v>1</v>
      </c>
      <c r="R19" s="22">
        <f t="shared" si="2"/>
        <v>580000</v>
      </c>
      <c r="S19" s="21">
        <f t="shared" si="3"/>
        <v>30000</v>
      </c>
    </row>
    <row r="20" spans="1:19">
      <c r="A20">
        <v>23</v>
      </c>
      <c r="B20" s="50" t="s">
        <v>846</v>
      </c>
      <c r="C20" s="51" t="s">
        <v>814</v>
      </c>
      <c r="D20" s="10" t="s">
        <v>601</v>
      </c>
      <c r="E20" s="10"/>
      <c r="F20" s="10" t="s">
        <v>602</v>
      </c>
      <c r="G20" s="10" t="s">
        <v>663</v>
      </c>
      <c r="H20" s="10" t="s">
        <v>664</v>
      </c>
      <c r="I20" s="10" t="s">
        <v>665</v>
      </c>
      <c r="J20" s="14" t="s">
        <v>666</v>
      </c>
      <c r="K20" s="10" t="s">
        <v>667</v>
      </c>
      <c r="L20" s="11">
        <v>630000</v>
      </c>
      <c r="M20" s="11">
        <v>580000</v>
      </c>
      <c r="N20" s="11"/>
      <c r="O20" s="11">
        <f t="shared" si="0"/>
        <v>50000</v>
      </c>
      <c r="P20" s="12">
        <f t="shared" si="1"/>
        <v>7.9365079365079361E-2</v>
      </c>
      <c r="Q20" s="28">
        <v>0.5</v>
      </c>
      <c r="R20" s="22">
        <f t="shared" si="2"/>
        <v>315000</v>
      </c>
      <c r="S20" s="21">
        <f t="shared" si="3"/>
        <v>25000</v>
      </c>
    </row>
    <row r="21" spans="1:19">
      <c r="A21">
        <v>24</v>
      </c>
      <c r="B21" s="50" t="s">
        <v>846</v>
      </c>
      <c r="C21" s="51" t="s">
        <v>814</v>
      </c>
      <c r="D21" s="10" t="s">
        <v>668</v>
      </c>
      <c r="E21" s="10"/>
      <c r="F21" s="10" t="s">
        <v>669</v>
      </c>
      <c r="G21" s="10" t="s">
        <v>670</v>
      </c>
      <c r="H21" s="10" t="s">
        <v>671</v>
      </c>
      <c r="I21" s="10" t="s">
        <v>672</v>
      </c>
      <c r="J21" s="14" t="s">
        <v>673</v>
      </c>
      <c r="K21" s="10" t="s">
        <v>674</v>
      </c>
      <c r="L21" s="11">
        <v>750000</v>
      </c>
      <c r="M21" s="11">
        <v>720000</v>
      </c>
      <c r="N21" s="11"/>
      <c r="O21" s="11">
        <f t="shared" si="0"/>
        <v>30000</v>
      </c>
      <c r="P21" s="12">
        <f t="shared" si="1"/>
        <v>0.04</v>
      </c>
      <c r="Q21" s="28">
        <v>1</v>
      </c>
      <c r="R21" s="22">
        <f t="shared" si="2"/>
        <v>750000</v>
      </c>
      <c r="S21" s="21">
        <f t="shared" si="3"/>
        <v>30000</v>
      </c>
    </row>
    <row r="22" spans="1:19">
      <c r="A22">
        <v>25</v>
      </c>
      <c r="B22" s="50" t="s">
        <v>851</v>
      </c>
      <c r="C22" s="51" t="s">
        <v>814</v>
      </c>
      <c r="D22" s="10" t="s">
        <v>699</v>
      </c>
      <c r="E22" s="10"/>
      <c r="F22" s="10" t="s">
        <v>657</v>
      </c>
      <c r="G22" s="10" t="s">
        <v>700</v>
      </c>
      <c r="H22" s="10" t="s">
        <v>701</v>
      </c>
      <c r="I22" s="10" t="s">
        <v>702</v>
      </c>
      <c r="J22" s="14" t="s">
        <v>703</v>
      </c>
      <c r="K22" s="10" t="s">
        <v>704</v>
      </c>
      <c r="L22" s="11">
        <v>580000</v>
      </c>
      <c r="M22" s="11">
        <v>550000</v>
      </c>
      <c r="N22" s="11"/>
      <c r="O22" s="11">
        <f t="shared" si="0"/>
        <v>30000</v>
      </c>
      <c r="P22" s="12">
        <f t="shared" si="1"/>
        <v>5.1724137931034482E-2</v>
      </c>
      <c r="Q22" s="28">
        <v>1</v>
      </c>
      <c r="R22" s="22">
        <f t="shared" si="2"/>
        <v>580000</v>
      </c>
      <c r="S22" s="21">
        <f t="shared" si="3"/>
        <v>30000</v>
      </c>
    </row>
    <row r="23" spans="1:19">
      <c r="A23">
        <v>26</v>
      </c>
      <c r="B23" s="50" t="s">
        <v>851</v>
      </c>
      <c r="C23" s="51" t="s">
        <v>814</v>
      </c>
      <c r="D23" s="10" t="s">
        <v>710</v>
      </c>
      <c r="E23" s="10" t="s">
        <v>711</v>
      </c>
      <c r="F23" s="10" t="s">
        <v>712</v>
      </c>
      <c r="G23" s="10" t="s">
        <v>713</v>
      </c>
      <c r="H23" s="10" t="s">
        <v>714</v>
      </c>
      <c r="I23" s="10" t="s">
        <v>715</v>
      </c>
      <c r="J23" s="14" t="s">
        <v>716</v>
      </c>
      <c r="K23" s="10" t="s">
        <v>717</v>
      </c>
      <c r="L23" s="11">
        <v>680000</v>
      </c>
      <c r="M23" s="11">
        <v>630000</v>
      </c>
      <c r="N23" s="11"/>
      <c r="O23" s="11">
        <f t="shared" si="0"/>
        <v>50000</v>
      </c>
      <c r="P23" s="12">
        <f t="shared" si="1"/>
        <v>7.3529411764705885E-2</v>
      </c>
      <c r="Q23" s="28">
        <v>1</v>
      </c>
      <c r="R23" s="22">
        <f t="shared" si="2"/>
        <v>680000</v>
      </c>
      <c r="S23" s="21">
        <f t="shared" si="3"/>
        <v>50000</v>
      </c>
    </row>
    <row r="24" spans="1:19">
      <c r="A24">
        <v>27</v>
      </c>
      <c r="B24" s="50" t="s">
        <v>852</v>
      </c>
      <c r="C24" s="51" t="s">
        <v>777</v>
      </c>
      <c r="D24" s="10" t="s">
        <v>735</v>
      </c>
      <c r="E24" s="10"/>
      <c r="F24" s="10" t="s">
        <v>736</v>
      </c>
      <c r="G24" s="10" t="s">
        <v>737</v>
      </c>
      <c r="H24" s="10" t="s">
        <v>738</v>
      </c>
      <c r="I24" s="10" t="s">
        <v>739</v>
      </c>
      <c r="J24" s="14" t="s">
        <v>740</v>
      </c>
      <c r="K24" s="10" t="s">
        <v>741</v>
      </c>
      <c r="L24" s="11">
        <v>600000</v>
      </c>
      <c r="M24" s="11">
        <v>570000</v>
      </c>
      <c r="N24" s="11"/>
      <c r="O24" s="11">
        <f t="shared" si="0"/>
        <v>30000</v>
      </c>
      <c r="P24" s="12">
        <f t="shared" si="1"/>
        <v>0.05</v>
      </c>
      <c r="Q24" s="28">
        <v>1</v>
      </c>
      <c r="R24" s="22">
        <f t="shared" si="2"/>
        <v>600000</v>
      </c>
      <c r="S24" s="21">
        <f t="shared" si="3"/>
        <v>30000</v>
      </c>
    </row>
    <row r="25" spans="1:19">
      <c r="A25">
        <v>28</v>
      </c>
      <c r="B25" s="50" t="s">
        <v>852</v>
      </c>
      <c r="C25" s="51" t="s">
        <v>777</v>
      </c>
      <c r="D25" s="10" t="s">
        <v>760</v>
      </c>
      <c r="E25" s="10"/>
      <c r="F25" s="10" t="s">
        <v>761</v>
      </c>
      <c r="G25" s="10" t="s">
        <v>762</v>
      </c>
      <c r="H25" s="10" t="s">
        <v>763</v>
      </c>
      <c r="I25" s="10" t="s">
        <v>764</v>
      </c>
      <c r="J25" s="14" t="s">
        <v>765</v>
      </c>
      <c r="K25" s="10" t="s">
        <v>766</v>
      </c>
      <c r="L25" s="11">
        <v>540000</v>
      </c>
      <c r="M25" s="11">
        <v>510000</v>
      </c>
      <c r="N25" s="11"/>
      <c r="O25" s="11">
        <f t="shared" si="0"/>
        <v>30000</v>
      </c>
      <c r="P25" s="12">
        <f t="shared" si="1"/>
        <v>5.5555555555555552E-2</v>
      </c>
      <c r="Q25" s="28">
        <v>1</v>
      </c>
      <c r="R25" s="22">
        <f t="shared" si="2"/>
        <v>540000</v>
      </c>
      <c r="S25" s="21">
        <f t="shared" si="3"/>
        <v>30000</v>
      </c>
    </row>
    <row r="26" spans="1:19">
      <c r="A26">
        <v>29</v>
      </c>
      <c r="B26" s="52" t="s">
        <v>852</v>
      </c>
      <c r="C26" s="53" t="s">
        <v>777</v>
      </c>
      <c r="D26" s="3" t="s">
        <v>767</v>
      </c>
      <c r="E26" s="3"/>
      <c r="F26" s="3" t="s">
        <v>768</v>
      </c>
      <c r="G26" s="3" t="s">
        <v>769</v>
      </c>
      <c r="H26" s="3" t="s">
        <v>770</v>
      </c>
      <c r="I26" s="3" t="s">
        <v>771</v>
      </c>
      <c r="J26" s="46" t="s">
        <v>772</v>
      </c>
      <c r="K26" s="10" t="s">
        <v>773</v>
      </c>
      <c r="L26" s="11">
        <v>730000</v>
      </c>
      <c r="M26" s="11">
        <v>700000</v>
      </c>
      <c r="N26" s="11"/>
      <c r="O26" s="11">
        <f t="shared" si="0"/>
        <v>30000</v>
      </c>
      <c r="P26" s="12">
        <f t="shared" si="1"/>
        <v>4.1095890410958902E-2</v>
      </c>
      <c r="Q26" s="28">
        <v>1</v>
      </c>
      <c r="R26" s="22">
        <f t="shared" si="2"/>
        <v>730000</v>
      </c>
      <c r="S26" s="21">
        <f t="shared" si="3"/>
        <v>30000</v>
      </c>
    </row>
    <row r="27" spans="1:19">
      <c r="K27" s="4" t="s">
        <v>13</v>
      </c>
      <c r="L27" s="5">
        <f>SUM(L5:L26)-SUM(0)</f>
        <v>12995000</v>
      </c>
      <c r="M27" s="5">
        <f>SUM(M5:M26)-SUM(0)</f>
        <v>12270000</v>
      </c>
      <c r="N27" s="5">
        <f>SUM(N5:N26)-SUM(0)</f>
        <v>0</v>
      </c>
      <c r="O27" s="5">
        <f>SUM(O5:O26)-SUM(0)</f>
        <v>725000</v>
      </c>
      <c r="P27" s="25">
        <f>O27/L27</f>
        <v>5.5790688726433245E-2</v>
      </c>
      <c r="Q27" s="18">
        <f>SUM(Q5:Q26)-SUM(0)</f>
        <v>18.5</v>
      </c>
      <c r="R27" s="23">
        <f>SUM(R5:R26)-SUM(0)</f>
        <v>11200000</v>
      </c>
      <c r="S27" s="23">
        <f>SUM(S5:S26)-SUM(0)</f>
        <v>600000</v>
      </c>
    </row>
    <row r="29" spans="1:19">
      <c r="L29" s="15" t="s">
        <v>19</v>
      </c>
      <c r="M29" s="15">
        <f>R27/Q27</f>
        <v>605405.40540540544</v>
      </c>
    </row>
    <row r="30" spans="1:19">
      <c r="L30" s="15" t="s">
        <v>20</v>
      </c>
      <c r="M30" s="15">
        <f>S27/Q27</f>
        <v>32432.432432432433</v>
      </c>
    </row>
    <row r="31" spans="1:19">
      <c r="L31" s="15" t="s">
        <v>21</v>
      </c>
      <c r="M31" s="17">
        <f>Q27</f>
        <v>18.5</v>
      </c>
    </row>
    <row r="32" spans="1:19">
      <c r="L32" s="15" t="s">
        <v>62</v>
      </c>
      <c r="M32" s="17">
        <v>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S17"/>
  <sheetViews>
    <sheetView zoomScaleNormal="100" workbookViewId="0">
      <pane ySplit="4" topLeftCell="A5" activePane="bottomLeft" state="frozen"/>
      <selection pane="bottomLeft" activeCell="B5" sqref="B5:B11"/>
    </sheetView>
  </sheetViews>
  <sheetFormatPr defaultRowHeight="13.5"/>
  <cols>
    <col min="1" max="1" width="3.875" customWidth="1"/>
    <col min="2" max="11" width="13.625" style="1" customWidth="1"/>
    <col min="12" max="15" width="13.625" style="2" customWidth="1"/>
    <col min="16" max="16" width="13.625" customWidth="1"/>
    <col min="18" max="18" width="13.25" bestFit="1" customWidth="1"/>
    <col min="19" max="19" width="12" bestFit="1" customWidth="1"/>
    <col min="20" max="21" width="14" bestFit="1" customWidth="1"/>
  </cols>
  <sheetData>
    <row r="4" spans="1:19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24" t="s">
        <v>12</v>
      </c>
      <c r="Q4" s="26" t="s">
        <v>37</v>
      </c>
      <c r="R4" s="26" t="s">
        <v>38</v>
      </c>
      <c r="S4" s="20" t="s">
        <v>39</v>
      </c>
    </row>
    <row r="5" spans="1:19">
      <c r="A5">
        <v>3</v>
      </c>
      <c r="B5" s="50" t="s">
        <v>837</v>
      </c>
      <c r="C5" s="51" t="s">
        <v>862</v>
      </c>
      <c r="D5" s="10" t="s">
        <v>515</v>
      </c>
      <c r="E5" s="10"/>
      <c r="F5" s="10" t="s">
        <v>210</v>
      </c>
      <c r="G5" s="10" t="s">
        <v>516</v>
      </c>
      <c r="H5" s="10" t="s">
        <v>517</v>
      </c>
      <c r="I5" s="10" t="s">
        <v>518</v>
      </c>
      <c r="J5" s="14" t="s">
        <v>519</v>
      </c>
      <c r="K5" s="10" t="s">
        <v>520</v>
      </c>
      <c r="L5" s="11">
        <v>500000</v>
      </c>
      <c r="M5" s="11">
        <v>470000</v>
      </c>
      <c r="N5" s="11"/>
      <c r="O5" s="11">
        <f t="shared" ref="O5:O11" si="0">L5-M5-N5</f>
        <v>30000</v>
      </c>
      <c r="P5" s="12">
        <f t="shared" ref="P5:P11" si="1">IF(VALUE(L5)&lt;=0,0,O5/L5)</f>
        <v>0.06</v>
      </c>
      <c r="Q5" s="28">
        <v>0.5</v>
      </c>
      <c r="R5" s="22">
        <f t="shared" ref="R5:R11" si="2">L5*Q5</f>
        <v>250000</v>
      </c>
      <c r="S5" s="21">
        <f t="shared" ref="S5:S11" si="3">Q5*O5</f>
        <v>15000</v>
      </c>
    </row>
    <row r="6" spans="1:19">
      <c r="A6">
        <v>4</v>
      </c>
      <c r="B6" s="50" t="s">
        <v>836</v>
      </c>
      <c r="C6" s="51" t="s">
        <v>862</v>
      </c>
      <c r="D6" s="10" t="s">
        <v>527</v>
      </c>
      <c r="E6" s="10"/>
      <c r="F6" s="10" t="s">
        <v>528</v>
      </c>
      <c r="G6" s="10" t="s">
        <v>529</v>
      </c>
      <c r="H6" s="10" t="s">
        <v>16</v>
      </c>
      <c r="I6" s="10" t="s">
        <v>530</v>
      </c>
      <c r="J6" s="14" t="s">
        <v>531</v>
      </c>
      <c r="K6" s="10" t="s">
        <v>532</v>
      </c>
      <c r="L6" s="11">
        <v>710000</v>
      </c>
      <c r="M6" s="11">
        <v>600000</v>
      </c>
      <c r="N6" s="11"/>
      <c r="O6" s="11">
        <f t="shared" si="0"/>
        <v>110000</v>
      </c>
      <c r="P6" s="12">
        <f t="shared" si="1"/>
        <v>0.15492957746478872</v>
      </c>
      <c r="Q6" s="28">
        <v>0.5</v>
      </c>
      <c r="R6" s="22">
        <f t="shared" si="2"/>
        <v>355000</v>
      </c>
      <c r="S6" s="21">
        <f t="shared" si="3"/>
        <v>55000</v>
      </c>
    </row>
    <row r="7" spans="1:19">
      <c r="A7">
        <v>5</v>
      </c>
      <c r="B7" s="50" t="s">
        <v>836</v>
      </c>
      <c r="C7" s="51" t="s">
        <v>862</v>
      </c>
      <c r="D7" s="10"/>
      <c r="E7" s="10"/>
      <c r="F7" s="10"/>
      <c r="G7" s="10"/>
      <c r="H7" s="10" t="s">
        <v>62</v>
      </c>
      <c r="I7" s="10"/>
      <c r="J7" s="14" t="s">
        <v>533</v>
      </c>
      <c r="K7" s="10"/>
      <c r="L7" s="11">
        <v>0</v>
      </c>
      <c r="M7" s="11">
        <v>50000</v>
      </c>
      <c r="N7" s="11"/>
      <c r="O7" s="11">
        <f t="shared" si="0"/>
        <v>-50000</v>
      </c>
      <c r="P7" s="12">
        <f t="shared" si="1"/>
        <v>0</v>
      </c>
      <c r="Q7" s="28">
        <v>0.5</v>
      </c>
      <c r="R7" s="22">
        <f t="shared" si="2"/>
        <v>0</v>
      </c>
      <c r="S7" s="21">
        <f t="shared" si="3"/>
        <v>-25000</v>
      </c>
    </row>
    <row r="8" spans="1:19">
      <c r="A8">
        <v>6</v>
      </c>
      <c r="B8" s="50" t="s">
        <v>841</v>
      </c>
      <c r="C8" s="51" t="s">
        <v>862</v>
      </c>
      <c r="D8" s="10" t="s">
        <v>174</v>
      </c>
      <c r="E8" s="10" t="s">
        <v>151</v>
      </c>
      <c r="F8" s="10" t="s">
        <v>568</v>
      </c>
      <c r="G8" s="10" t="s">
        <v>569</v>
      </c>
      <c r="H8" s="10" t="s">
        <v>570</v>
      </c>
      <c r="I8" s="10" t="s">
        <v>571</v>
      </c>
      <c r="J8" s="14" t="s">
        <v>572</v>
      </c>
      <c r="K8" s="10" t="s">
        <v>573</v>
      </c>
      <c r="L8" s="11">
        <v>630000</v>
      </c>
      <c r="M8" s="11">
        <v>600000</v>
      </c>
      <c r="N8" s="11"/>
      <c r="O8" s="11">
        <f t="shared" si="0"/>
        <v>30000</v>
      </c>
      <c r="P8" s="12">
        <f t="shared" si="1"/>
        <v>4.7619047619047616E-2</v>
      </c>
      <c r="Q8" s="28">
        <v>1</v>
      </c>
      <c r="R8" s="22">
        <f t="shared" si="2"/>
        <v>630000</v>
      </c>
      <c r="S8" s="21">
        <f t="shared" si="3"/>
        <v>30000</v>
      </c>
    </row>
    <row r="9" spans="1:19">
      <c r="A9">
        <v>7</v>
      </c>
      <c r="B9" s="50" t="s">
        <v>843</v>
      </c>
      <c r="C9" s="51" t="s">
        <v>874</v>
      </c>
      <c r="D9" s="10"/>
      <c r="E9" s="10"/>
      <c r="F9" s="10" t="s">
        <v>593</v>
      </c>
      <c r="G9" s="10" t="s">
        <v>594</v>
      </c>
      <c r="H9" s="10" t="s">
        <v>595</v>
      </c>
      <c r="I9" s="10" t="s">
        <v>599</v>
      </c>
      <c r="J9" s="14" t="s">
        <v>600</v>
      </c>
      <c r="K9" s="10" t="s">
        <v>532</v>
      </c>
      <c r="L9" s="11">
        <v>350000</v>
      </c>
      <c r="M9" s="11">
        <v>220000</v>
      </c>
      <c r="N9" s="11"/>
      <c r="O9" s="11">
        <f t="shared" si="0"/>
        <v>130000</v>
      </c>
      <c r="P9" s="12">
        <f t="shared" si="1"/>
        <v>0.37142857142857144</v>
      </c>
      <c r="Q9" s="28">
        <v>0.5</v>
      </c>
      <c r="R9" s="22">
        <f t="shared" si="2"/>
        <v>175000</v>
      </c>
      <c r="S9" s="21">
        <f t="shared" si="3"/>
        <v>65000</v>
      </c>
    </row>
    <row r="10" spans="1:19">
      <c r="A10">
        <v>8</v>
      </c>
      <c r="B10" s="50" t="s">
        <v>846</v>
      </c>
      <c r="C10" s="51" t="s">
        <v>785</v>
      </c>
      <c r="D10" s="10" t="s">
        <v>628</v>
      </c>
      <c r="E10" s="10"/>
      <c r="F10" s="10" t="s">
        <v>522</v>
      </c>
      <c r="G10" s="10" t="s">
        <v>629</v>
      </c>
      <c r="H10" s="10" t="s">
        <v>630</v>
      </c>
      <c r="I10" s="10" t="s">
        <v>631</v>
      </c>
      <c r="J10" s="14" t="s">
        <v>632</v>
      </c>
      <c r="K10" s="10" t="s">
        <v>633</v>
      </c>
      <c r="L10" s="11">
        <v>600000</v>
      </c>
      <c r="M10" s="11">
        <v>570000</v>
      </c>
      <c r="N10" s="11"/>
      <c r="O10" s="11">
        <f t="shared" si="0"/>
        <v>30000</v>
      </c>
      <c r="P10" s="12">
        <f t="shared" si="1"/>
        <v>0.05</v>
      </c>
      <c r="Q10" s="28">
        <v>1</v>
      </c>
      <c r="R10" s="22">
        <f t="shared" si="2"/>
        <v>600000</v>
      </c>
      <c r="S10" s="21">
        <f t="shared" si="3"/>
        <v>30000</v>
      </c>
    </row>
    <row r="11" spans="1:19">
      <c r="A11">
        <v>9</v>
      </c>
      <c r="B11" s="52" t="s">
        <v>846</v>
      </c>
      <c r="C11" s="53" t="s">
        <v>814</v>
      </c>
      <c r="D11" s="3" t="s">
        <v>601</v>
      </c>
      <c r="E11" s="3"/>
      <c r="F11" s="3" t="s">
        <v>602</v>
      </c>
      <c r="G11" s="3" t="s">
        <v>663</v>
      </c>
      <c r="H11" s="3" t="s">
        <v>664</v>
      </c>
      <c r="I11" s="3" t="s">
        <v>665</v>
      </c>
      <c r="J11" s="46" t="s">
        <v>666</v>
      </c>
      <c r="K11" s="10" t="s">
        <v>667</v>
      </c>
      <c r="L11" s="11">
        <v>630000</v>
      </c>
      <c r="M11" s="11">
        <v>580000</v>
      </c>
      <c r="N11" s="11"/>
      <c r="O11" s="11">
        <f t="shared" si="0"/>
        <v>50000</v>
      </c>
      <c r="P11" s="12">
        <f t="shared" si="1"/>
        <v>7.9365079365079361E-2</v>
      </c>
      <c r="Q11" s="28">
        <v>0.5</v>
      </c>
      <c r="R11" s="22">
        <f t="shared" si="2"/>
        <v>315000</v>
      </c>
      <c r="S11" s="21">
        <f t="shared" si="3"/>
        <v>25000</v>
      </c>
    </row>
    <row r="12" spans="1:19">
      <c r="K12" s="4" t="s">
        <v>13</v>
      </c>
      <c r="L12" s="5">
        <f>SUM(L5:L11)-SUM(0)</f>
        <v>3420000</v>
      </c>
      <c r="M12" s="5">
        <f>SUM(M5:M11)-SUM(0)</f>
        <v>3090000</v>
      </c>
      <c r="N12" s="5">
        <f>SUM(N5:N11)-SUM(0)</f>
        <v>0</v>
      </c>
      <c r="O12" s="5">
        <f>SUM(O5:O11)-SUM(0)</f>
        <v>330000</v>
      </c>
      <c r="P12" s="25">
        <f>O12/L12</f>
        <v>9.6491228070175433E-2</v>
      </c>
      <c r="Q12" s="18">
        <f>SUM(Q5:Q11)-SUM(0)</f>
        <v>4.5</v>
      </c>
      <c r="R12" s="23">
        <f>SUM(R5:R11)-SUM(0)</f>
        <v>2325000</v>
      </c>
      <c r="S12" s="23">
        <f>SUM(S5:S11)-SUM(0)</f>
        <v>195000</v>
      </c>
    </row>
    <row r="14" spans="1:19">
      <c r="L14" s="15" t="s">
        <v>19</v>
      </c>
      <c r="M14" s="15">
        <f>R12/Q12</f>
        <v>516666.66666666669</v>
      </c>
    </row>
    <row r="15" spans="1:19">
      <c r="L15" s="15" t="s">
        <v>20</v>
      </c>
      <c r="M15" s="15">
        <f>S12/Q12</f>
        <v>43333.333333333336</v>
      </c>
    </row>
    <row r="16" spans="1:19">
      <c r="L16" s="15" t="s">
        <v>21</v>
      </c>
      <c r="M16" s="17">
        <f>Q12</f>
        <v>4.5</v>
      </c>
    </row>
    <row r="17" spans="12:13">
      <c r="L17" s="15" t="s">
        <v>62</v>
      </c>
      <c r="M17" s="17">
        <v>0.5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65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P21"/>
  <sheetViews>
    <sheetView workbookViewId="0">
      <pane ySplit="4" topLeftCell="A5" activePane="bottomLeft" state="frozen"/>
      <selection pane="bottomLeft" activeCell="B5" sqref="B5:B20"/>
    </sheetView>
  </sheetViews>
  <sheetFormatPr defaultRowHeight="13.5"/>
  <cols>
    <col min="1" max="1" width="2" customWidth="1"/>
    <col min="2" max="11" width="13.625" style="1" customWidth="1"/>
    <col min="12" max="15" width="13.625" style="2" customWidth="1"/>
    <col min="16" max="16" width="13.625" customWidth="1"/>
  </cols>
  <sheetData>
    <row r="4" spans="2:16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9" t="s">
        <v>12</v>
      </c>
    </row>
    <row r="5" spans="2:16">
      <c r="B5" s="50" t="s">
        <v>776</v>
      </c>
      <c r="C5" s="51" t="s">
        <v>879</v>
      </c>
      <c r="D5" s="10" t="s">
        <v>24</v>
      </c>
      <c r="E5" s="10" t="s">
        <v>24</v>
      </c>
      <c r="F5" s="10" t="s">
        <v>24</v>
      </c>
      <c r="G5" s="10" t="s">
        <v>25</v>
      </c>
      <c r="H5" s="10" t="s">
        <v>26</v>
      </c>
      <c r="I5" s="10" t="s">
        <v>27</v>
      </c>
      <c r="J5" s="13" t="s">
        <v>28</v>
      </c>
      <c r="K5" s="10" t="s">
        <v>29</v>
      </c>
      <c r="L5" s="11">
        <v>560000</v>
      </c>
      <c r="M5" s="11">
        <v>310000</v>
      </c>
      <c r="N5" s="11"/>
      <c r="O5" s="11">
        <f t="shared" ref="O5:O20" si="0">L5-M5-N5</f>
        <v>250000</v>
      </c>
      <c r="P5" s="12">
        <f t="shared" ref="P5:P20" si="1">IF(VALUE(L5)&lt;=0,0,O5/L5)</f>
        <v>0.44642857142857145</v>
      </c>
    </row>
    <row r="6" spans="2:16">
      <c r="B6" s="50" t="s">
        <v>778</v>
      </c>
      <c r="C6" s="51" t="s">
        <v>880</v>
      </c>
      <c r="D6" s="10" t="s">
        <v>30</v>
      </c>
      <c r="E6" s="10" t="s">
        <v>31</v>
      </c>
      <c r="F6" s="10" t="s">
        <v>31</v>
      </c>
      <c r="G6" s="10" t="s">
        <v>32</v>
      </c>
      <c r="H6" s="10" t="s">
        <v>33</v>
      </c>
      <c r="I6" s="10" t="s">
        <v>34</v>
      </c>
      <c r="J6" s="13" t="s">
        <v>36</v>
      </c>
      <c r="K6" s="10" t="s">
        <v>35</v>
      </c>
      <c r="L6" s="11">
        <v>700000</v>
      </c>
      <c r="M6" s="11">
        <v>460000</v>
      </c>
      <c r="N6" s="11"/>
      <c r="O6" s="11">
        <f t="shared" si="0"/>
        <v>240000</v>
      </c>
      <c r="P6" s="12">
        <f t="shared" si="1"/>
        <v>0.34285714285714286</v>
      </c>
    </row>
    <row r="7" spans="2:16">
      <c r="B7" s="50" t="s">
        <v>781</v>
      </c>
      <c r="C7" s="51" t="s">
        <v>881</v>
      </c>
      <c r="D7" s="10" t="s">
        <v>65</v>
      </c>
      <c r="E7" s="10" t="s">
        <v>66</v>
      </c>
      <c r="F7" s="10" t="s">
        <v>66</v>
      </c>
      <c r="G7" s="10" t="s">
        <v>67</v>
      </c>
      <c r="H7" s="10" t="s">
        <v>63</v>
      </c>
      <c r="I7" s="10" t="s">
        <v>64</v>
      </c>
      <c r="J7" s="14" t="s">
        <v>68</v>
      </c>
      <c r="K7" s="10" t="s">
        <v>69</v>
      </c>
      <c r="L7" s="11">
        <v>580000</v>
      </c>
      <c r="M7" s="11">
        <v>355000</v>
      </c>
      <c r="N7" s="11"/>
      <c r="O7" s="11">
        <f t="shared" si="0"/>
        <v>225000</v>
      </c>
      <c r="P7" s="12">
        <f t="shared" si="1"/>
        <v>0.38793103448275862</v>
      </c>
    </row>
    <row r="8" spans="2:16">
      <c r="B8" s="50" t="s">
        <v>783</v>
      </c>
      <c r="C8" s="51" t="s">
        <v>882</v>
      </c>
      <c r="D8" s="10" t="s">
        <v>72</v>
      </c>
      <c r="E8" s="10"/>
      <c r="F8" s="10" t="s">
        <v>73</v>
      </c>
      <c r="G8" s="10" t="s">
        <v>74</v>
      </c>
      <c r="H8" s="10" t="s">
        <v>75</v>
      </c>
      <c r="I8" s="10" t="s">
        <v>76</v>
      </c>
      <c r="J8" s="14" t="s">
        <v>77</v>
      </c>
      <c r="K8" s="10" t="s">
        <v>78</v>
      </c>
      <c r="L8" s="11">
        <v>500000</v>
      </c>
      <c r="M8" s="11">
        <v>275000</v>
      </c>
      <c r="N8" s="11"/>
      <c r="O8" s="11">
        <f t="shared" si="0"/>
        <v>225000</v>
      </c>
      <c r="P8" s="12">
        <f t="shared" si="1"/>
        <v>0.45</v>
      </c>
    </row>
    <row r="9" spans="2:16">
      <c r="B9" s="50" t="s">
        <v>798</v>
      </c>
      <c r="C9" s="51" t="s">
        <v>857</v>
      </c>
      <c r="D9" s="10"/>
      <c r="E9" s="10"/>
      <c r="F9" s="10" t="s">
        <v>196</v>
      </c>
      <c r="G9" s="10" t="s">
        <v>197</v>
      </c>
      <c r="H9" s="10" t="s">
        <v>16</v>
      </c>
      <c r="I9" s="10" t="s">
        <v>22</v>
      </c>
      <c r="J9" s="14" t="s">
        <v>198</v>
      </c>
      <c r="K9" s="10" t="s">
        <v>199</v>
      </c>
      <c r="L9" s="11">
        <v>370000</v>
      </c>
      <c r="M9" s="11">
        <v>200000</v>
      </c>
      <c r="N9" s="11"/>
      <c r="O9" s="11">
        <f t="shared" si="0"/>
        <v>170000</v>
      </c>
      <c r="P9" s="12">
        <f t="shared" si="1"/>
        <v>0.45945945945945948</v>
      </c>
    </row>
    <row r="10" spans="2:16">
      <c r="B10" s="50" t="s">
        <v>801</v>
      </c>
      <c r="C10" s="51" t="s">
        <v>875</v>
      </c>
      <c r="D10" s="10" t="s">
        <v>225</v>
      </c>
      <c r="E10" s="10"/>
      <c r="F10" s="10" t="s">
        <v>226</v>
      </c>
      <c r="G10" s="10" t="s">
        <v>227</v>
      </c>
      <c r="H10" s="10" t="s">
        <v>16</v>
      </c>
      <c r="I10" s="10" t="s">
        <v>228</v>
      </c>
      <c r="J10" s="14" t="s">
        <v>229</v>
      </c>
      <c r="K10" s="10" t="s">
        <v>230</v>
      </c>
      <c r="L10" s="11">
        <v>530000</v>
      </c>
      <c r="M10" s="11">
        <v>260000</v>
      </c>
      <c r="N10" s="11"/>
      <c r="O10" s="11">
        <f t="shared" si="0"/>
        <v>270000</v>
      </c>
      <c r="P10" s="12">
        <f t="shared" si="1"/>
        <v>0.50943396226415094</v>
      </c>
    </row>
    <row r="11" spans="2:16">
      <c r="B11" s="50" t="s">
        <v>809</v>
      </c>
      <c r="C11" s="51" t="s">
        <v>865</v>
      </c>
      <c r="D11" s="10" t="s">
        <v>17</v>
      </c>
      <c r="E11" s="10"/>
      <c r="F11" s="10" t="s">
        <v>278</v>
      </c>
      <c r="G11" s="10" t="s">
        <v>279</v>
      </c>
      <c r="H11" s="10" t="s">
        <v>16</v>
      </c>
      <c r="I11" s="10" t="s">
        <v>280</v>
      </c>
      <c r="J11" s="14" t="s">
        <v>281</v>
      </c>
      <c r="K11" s="10" t="s">
        <v>282</v>
      </c>
      <c r="L11" s="11">
        <v>480000</v>
      </c>
      <c r="M11" s="11">
        <v>240000</v>
      </c>
      <c r="N11" s="11"/>
      <c r="O11" s="11">
        <f t="shared" si="0"/>
        <v>240000</v>
      </c>
      <c r="P11" s="12">
        <f t="shared" si="1"/>
        <v>0.5</v>
      </c>
    </row>
    <row r="12" spans="2:16">
      <c r="B12" s="50" t="s">
        <v>826</v>
      </c>
      <c r="C12" s="51" t="s">
        <v>861</v>
      </c>
      <c r="D12" s="10" t="s">
        <v>419</v>
      </c>
      <c r="E12" s="10" t="s">
        <v>323</v>
      </c>
      <c r="F12" s="10" t="s">
        <v>321</v>
      </c>
      <c r="G12" s="10" t="s">
        <v>324</v>
      </c>
      <c r="H12" s="10" t="s">
        <v>16</v>
      </c>
      <c r="I12" s="10" t="s">
        <v>22</v>
      </c>
      <c r="J12" s="14" t="s">
        <v>420</v>
      </c>
      <c r="K12" s="10" t="s">
        <v>421</v>
      </c>
      <c r="L12" s="11">
        <v>350000</v>
      </c>
      <c r="M12" s="11">
        <v>220000</v>
      </c>
      <c r="N12" s="11"/>
      <c r="O12" s="11">
        <f t="shared" si="0"/>
        <v>130000</v>
      </c>
      <c r="P12" s="12">
        <f t="shared" si="1"/>
        <v>0.37142857142857144</v>
      </c>
    </row>
    <row r="13" spans="2:16">
      <c r="B13" s="50" t="s">
        <v>829</v>
      </c>
      <c r="C13" s="51" t="s">
        <v>861</v>
      </c>
      <c r="D13" s="10" t="s">
        <v>437</v>
      </c>
      <c r="E13" s="10" t="s">
        <v>224</v>
      </c>
      <c r="F13" s="10" t="s">
        <v>438</v>
      </c>
      <c r="G13" s="10" t="s">
        <v>439</v>
      </c>
      <c r="H13" s="10" t="s">
        <v>16</v>
      </c>
      <c r="I13" s="10" t="s">
        <v>440</v>
      </c>
      <c r="J13" s="14" t="s">
        <v>441</v>
      </c>
      <c r="K13" s="10" t="s">
        <v>442</v>
      </c>
      <c r="L13" s="11">
        <v>400000</v>
      </c>
      <c r="M13" s="11">
        <v>240000</v>
      </c>
      <c r="N13" s="11"/>
      <c r="O13" s="11">
        <f t="shared" si="0"/>
        <v>160000</v>
      </c>
      <c r="P13" s="12">
        <f t="shared" si="1"/>
        <v>0.4</v>
      </c>
    </row>
    <row r="14" spans="2:16">
      <c r="B14" s="50" t="s">
        <v>832</v>
      </c>
      <c r="C14" s="51" t="s">
        <v>862</v>
      </c>
      <c r="D14" s="10" t="s">
        <v>17</v>
      </c>
      <c r="E14" s="10"/>
      <c r="F14" s="10" t="s">
        <v>481</v>
      </c>
      <c r="G14" s="10" t="s">
        <v>482</v>
      </c>
      <c r="H14" s="10" t="s">
        <v>16</v>
      </c>
      <c r="I14" s="10" t="s">
        <v>121</v>
      </c>
      <c r="J14" s="14" t="s">
        <v>483</v>
      </c>
      <c r="K14" s="10" t="s">
        <v>484</v>
      </c>
      <c r="L14" s="11">
        <v>400000</v>
      </c>
      <c r="M14" s="11">
        <v>250000</v>
      </c>
      <c r="N14" s="11"/>
      <c r="O14" s="11">
        <f t="shared" si="0"/>
        <v>150000</v>
      </c>
      <c r="P14" s="12">
        <f t="shared" si="1"/>
        <v>0.375</v>
      </c>
    </row>
    <row r="15" spans="2:16">
      <c r="B15" s="50" t="s">
        <v>824</v>
      </c>
      <c r="C15" s="51" t="s">
        <v>878</v>
      </c>
      <c r="D15" s="10" t="s">
        <v>491</v>
      </c>
      <c r="E15" s="10" t="s">
        <v>151</v>
      </c>
      <c r="F15" s="10" t="s">
        <v>492</v>
      </c>
      <c r="G15" s="10" t="s">
        <v>493</v>
      </c>
      <c r="H15" s="10" t="s">
        <v>16</v>
      </c>
      <c r="I15" s="10" t="s">
        <v>494</v>
      </c>
      <c r="J15" s="14" t="s">
        <v>495</v>
      </c>
      <c r="K15" s="10" t="s">
        <v>496</v>
      </c>
      <c r="L15" s="11">
        <v>580000</v>
      </c>
      <c r="M15" s="11">
        <v>280000</v>
      </c>
      <c r="N15" s="11"/>
      <c r="O15" s="11">
        <f t="shared" si="0"/>
        <v>300000</v>
      </c>
      <c r="P15" s="12">
        <f t="shared" si="1"/>
        <v>0.51724137931034486</v>
      </c>
    </row>
    <row r="16" spans="2:16">
      <c r="B16" s="50" t="s">
        <v>836</v>
      </c>
      <c r="C16" s="51" t="s">
        <v>862</v>
      </c>
      <c r="D16" s="10" t="s">
        <v>562</v>
      </c>
      <c r="E16" s="10" t="s">
        <v>502</v>
      </c>
      <c r="F16" s="10" t="s">
        <v>563</v>
      </c>
      <c r="G16" s="10" t="s">
        <v>564</v>
      </c>
      <c r="H16" s="10" t="s">
        <v>16</v>
      </c>
      <c r="I16" s="10" t="s">
        <v>565</v>
      </c>
      <c r="J16" s="14" t="s">
        <v>566</v>
      </c>
      <c r="K16" s="10" t="s">
        <v>567</v>
      </c>
      <c r="L16" s="11">
        <v>650000</v>
      </c>
      <c r="M16" s="11">
        <v>460000</v>
      </c>
      <c r="N16" s="11"/>
      <c r="O16" s="11">
        <f t="shared" si="0"/>
        <v>190000</v>
      </c>
      <c r="P16" s="12">
        <f t="shared" si="1"/>
        <v>0.29230769230769232</v>
      </c>
    </row>
    <row r="17" spans="2:16">
      <c r="B17" s="50" t="s">
        <v>843</v>
      </c>
      <c r="C17" s="51" t="s">
        <v>874</v>
      </c>
      <c r="D17" s="10"/>
      <c r="E17" s="10"/>
      <c r="F17" s="10" t="s">
        <v>593</v>
      </c>
      <c r="G17" s="10" t="s">
        <v>594</v>
      </c>
      <c r="H17" s="10" t="s">
        <v>595</v>
      </c>
      <c r="I17" s="10" t="s">
        <v>596</v>
      </c>
      <c r="J17" s="14" t="s">
        <v>597</v>
      </c>
      <c r="K17" s="10" t="s">
        <v>532</v>
      </c>
      <c r="L17" s="11">
        <v>430000</v>
      </c>
      <c r="M17" s="11">
        <v>250000</v>
      </c>
      <c r="N17" s="11"/>
      <c r="O17" s="11">
        <f t="shared" si="0"/>
        <v>180000</v>
      </c>
      <c r="P17" s="12">
        <f t="shared" si="1"/>
        <v>0.41860465116279072</v>
      </c>
    </row>
    <row r="18" spans="2:16">
      <c r="B18" s="50" t="s">
        <v>843</v>
      </c>
      <c r="C18" s="51" t="s">
        <v>874</v>
      </c>
      <c r="D18" s="10"/>
      <c r="E18" s="10"/>
      <c r="F18" s="10" t="s">
        <v>593</v>
      </c>
      <c r="G18" s="10" t="s">
        <v>594</v>
      </c>
      <c r="H18" s="10" t="s">
        <v>595</v>
      </c>
      <c r="I18" s="10" t="s">
        <v>596</v>
      </c>
      <c r="J18" s="14" t="s">
        <v>598</v>
      </c>
      <c r="K18" s="10" t="s">
        <v>532</v>
      </c>
      <c r="L18" s="11">
        <v>350000</v>
      </c>
      <c r="M18" s="11">
        <v>220000</v>
      </c>
      <c r="N18" s="11"/>
      <c r="O18" s="11">
        <f t="shared" si="0"/>
        <v>130000</v>
      </c>
      <c r="P18" s="12">
        <f t="shared" si="1"/>
        <v>0.37142857142857144</v>
      </c>
    </row>
    <row r="19" spans="2:16">
      <c r="B19" s="50" t="s">
        <v>843</v>
      </c>
      <c r="C19" s="51" t="s">
        <v>874</v>
      </c>
      <c r="D19" s="10"/>
      <c r="E19" s="10"/>
      <c r="F19" s="10" t="s">
        <v>593</v>
      </c>
      <c r="G19" s="10" t="s">
        <v>594</v>
      </c>
      <c r="H19" s="10" t="s">
        <v>595</v>
      </c>
      <c r="I19" s="10" t="s">
        <v>599</v>
      </c>
      <c r="J19" s="14" t="s">
        <v>600</v>
      </c>
      <c r="K19" s="10" t="s">
        <v>532</v>
      </c>
      <c r="L19" s="11">
        <v>350000</v>
      </c>
      <c r="M19" s="11">
        <v>220000</v>
      </c>
      <c r="N19" s="11"/>
      <c r="O19" s="11">
        <f t="shared" si="0"/>
        <v>130000</v>
      </c>
      <c r="P19" s="12">
        <f t="shared" si="1"/>
        <v>0.37142857142857144</v>
      </c>
    </row>
    <row r="20" spans="2:16">
      <c r="B20" s="52" t="s">
        <v>843</v>
      </c>
      <c r="C20" s="53" t="s">
        <v>814</v>
      </c>
      <c r="D20" s="3" t="s">
        <v>689</v>
      </c>
      <c r="E20" s="3"/>
      <c r="F20" s="3" t="s">
        <v>690</v>
      </c>
      <c r="G20" s="3" t="s">
        <v>691</v>
      </c>
      <c r="H20" s="3" t="s">
        <v>16</v>
      </c>
      <c r="I20" s="3" t="s">
        <v>692</v>
      </c>
      <c r="J20" s="46" t="s">
        <v>693</v>
      </c>
      <c r="K20" s="10" t="s">
        <v>694</v>
      </c>
      <c r="L20" s="11">
        <v>500000</v>
      </c>
      <c r="M20" s="11">
        <v>280000</v>
      </c>
      <c r="N20" s="11"/>
      <c r="O20" s="11">
        <f t="shared" si="0"/>
        <v>220000</v>
      </c>
      <c r="P20" s="12">
        <f t="shared" si="1"/>
        <v>0.44</v>
      </c>
    </row>
    <row r="21" spans="2:16">
      <c r="K21" s="4" t="s">
        <v>13</v>
      </c>
      <c r="L21" s="5">
        <f>SUM(L5:L20)-SUM(0)</f>
        <v>7730000</v>
      </c>
      <c r="M21" s="5">
        <f>SUM(M5:M20)-SUM(0)</f>
        <v>4520000</v>
      </c>
      <c r="N21" s="5">
        <f>SUM(N5:N20)-SUM(0)</f>
        <v>0</v>
      </c>
      <c r="O21" s="5">
        <f>SUM(O5:O20)-SUM(0)</f>
        <v>3210000</v>
      </c>
      <c r="P21" s="6">
        <f>O21/L21</f>
        <v>0.41526520051746441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P8"/>
  <sheetViews>
    <sheetView workbookViewId="0">
      <pane ySplit="4" topLeftCell="A5" activePane="bottomLeft" state="frozen"/>
      <selection pane="bottomLeft" activeCell="B5" sqref="B5:C7"/>
    </sheetView>
  </sheetViews>
  <sheetFormatPr defaultRowHeight="13.5"/>
  <cols>
    <col min="1" max="1" width="2.375" customWidth="1"/>
    <col min="2" max="11" width="13.625" style="1" customWidth="1"/>
    <col min="12" max="15" width="13.625" style="2" customWidth="1"/>
    <col min="16" max="16" width="13.625" customWidth="1"/>
  </cols>
  <sheetData>
    <row r="4" spans="2:16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9" t="s">
        <v>12</v>
      </c>
    </row>
    <row r="5" spans="2:16">
      <c r="B5" s="50" t="s">
        <v>788</v>
      </c>
      <c r="C5" s="51" t="s">
        <v>864</v>
      </c>
      <c r="D5" s="10" t="s">
        <v>129</v>
      </c>
      <c r="E5" s="10"/>
      <c r="F5" s="10" t="s">
        <v>129</v>
      </c>
      <c r="G5" s="10" t="s">
        <v>130</v>
      </c>
      <c r="H5" s="10" t="s">
        <v>131</v>
      </c>
      <c r="I5" s="10" t="s">
        <v>132</v>
      </c>
      <c r="J5" s="14" t="s">
        <v>133</v>
      </c>
      <c r="K5" s="10" t="s">
        <v>134</v>
      </c>
      <c r="L5" s="11">
        <v>450000</v>
      </c>
      <c r="M5" s="11">
        <v>300000</v>
      </c>
      <c r="N5" s="11"/>
      <c r="O5" s="11">
        <f>L5-M5-N5</f>
        <v>150000</v>
      </c>
      <c r="P5" s="12">
        <f>IF(VALUE(L5)&lt;=0,0,O5/L5)</f>
        <v>0.33333333333333331</v>
      </c>
    </row>
    <row r="6" spans="2:16">
      <c r="B6" s="50" t="s">
        <v>820</v>
      </c>
      <c r="C6" s="51" t="s">
        <v>859</v>
      </c>
      <c r="D6" s="10" t="s">
        <v>383</v>
      </c>
      <c r="E6" s="10"/>
      <c r="F6" s="10" t="s">
        <v>384</v>
      </c>
      <c r="G6" s="10" t="s">
        <v>385</v>
      </c>
      <c r="H6" s="10" t="s">
        <v>16</v>
      </c>
      <c r="I6" s="10" t="s">
        <v>386</v>
      </c>
      <c r="J6" s="14" t="s">
        <v>387</v>
      </c>
      <c r="K6" s="10" t="s">
        <v>388</v>
      </c>
      <c r="L6" s="11">
        <v>680000</v>
      </c>
      <c r="M6" s="11">
        <v>450000</v>
      </c>
      <c r="N6" s="11"/>
      <c r="O6" s="11">
        <f>L6-M6-N6</f>
        <v>230000</v>
      </c>
      <c r="P6" s="12">
        <f>IF(VALUE(L6)&lt;=0,0,O6/L6)</f>
        <v>0.33823529411764708</v>
      </c>
    </row>
    <row r="7" spans="2:16">
      <c r="B7" s="52" t="s">
        <v>832</v>
      </c>
      <c r="C7" s="53" t="s">
        <v>862</v>
      </c>
      <c r="D7" s="3" t="s">
        <v>486</v>
      </c>
      <c r="E7" s="3"/>
      <c r="F7" s="3" t="s">
        <v>487</v>
      </c>
      <c r="G7" s="3" t="s">
        <v>150</v>
      </c>
      <c r="H7" s="3" t="s">
        <v>16</v>
      </c>
      <c r="I7" s="3" t="s">
        <v>488</v>
      </c>
      <c r="J7" s="46" t="s">
        <v>489</v>
      </c>
      <c r="K7" s="10" t="s">
        <v>490</v>
      </c>
      <c r="L7" s="11">
        <v>560000</v>
      </c>
      <c r="M7" s="11">
        <v>350000</v>
      </c>
      <c r="N7" s="11"/>
      <c r="O7" s="11">
        <f>L7-M7-N7</f>
        <v>210000</v>
      </c>
      <c r="P7" s="12">
        <f>IF(VALUE(L7)&lt;=0,0,O7/L7)</f>
        <v>0.375</v>
      </c>
    </row>
    <row r="8" spans="2:16">
      <c r="K8" s="4" t="s">
        <v>13</v>
      </c>
      <c r="L8" s="5">
        <f>SUM(L5:L7)-SUM(0)</f>
        <v>1690000</v>
      </c>
      <c r="M8" s="5">
        <f>SUM(M5:M7)-SUM(0)</f>
        <v>1100000</v>
      </c>
      <c r="N8" s="5">
        <f>SUM(N5:N7)-SUM(0)</f>
        <v>0</v>
      </c>
      <c r="O8" s="5">
        <f>SUM(O5:O7)-SUM(0)</f>
        <v>590000</v>
      </c>
      <c r="P8" s="6">
        <f>O8/L8</f>
        <v>0.34911242603550297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4:P24"/>
  <sheetViews>
    <sheetView topLeftCell="B1" workbookViewId="0">
      <pane ySplit="4" topLeftCell="A7" activePane="bottomLeft" state="frozen"/>
      <selection pane="bottomLeft" activeCell="B5" sqref="B5:B23"/>
    </sheetView>
  </sheetViews>
  <sheetFormatPr defaultRowHeight="13.5"/>
  <cols>
    <col min="1" max="1" width="2" customWidth="1"/>
    <col min="2" max="11" width="13.625" style="1" customWidth="1"/>
    <col min="12" max="15" width="13.625" style="2" customWidth="1"/>
    <col min="16" max="16" width="13.625" customWidth="1"/>
  </cols>
  <sheetData>
    <row r="4" spans="2:16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9" t="s">
        <v>12</v>
      </c>
    </row>
    <row r="5" spans="2:16">
      <c r="B5" s="50" t="s">
        <v>784</v>
      </c>
      <c r="C5" s="51" t="s">
        <v>863</v>
      </c>
      <c r="D5" s="10" t="s">
        <v>43</v>
      </c>
      <c r="E5" s="10" t="s">
        <v>83</v>
      </c>
      <c r="F5" s="10" t="s">
        <v>84</v>
      </c>
      <c r="G5" s="10" t="s">
        <v>85</v>
      </c>
      <c r="H5" s="10" t="s">
        <v>86</v>
      </c>
      <c r="I5" s="10" t="s">
        <v>87</v>
      </c>
      <c r="J5" s="14" t="s">
        <v>91</v>
      </c>
      <c r="K5" s="10" t="s">
        <v>88</v>
      </c>
      <c r="L5" s="11">
        <v>560000</v>
      </c>
      <c r="M5" s="11">
        <v>500000</v>
      </c>
      <c r="N5" s="11"/>
      <c r="O5" s="11">
        <f t="shared" ref="O5:O23" si="0">L5-M5-N5</f>
        <v>60000</v>
      </c>
      <c r="P5" s="12">
        <f t="shared" ref="P5:P23" si="1">IF(VALUE(L5)&lt;=0,0,O5/L5)</f>
        <v>0.10714285714285714</v>
      </c>
    </row>
    <row r="6" spans="2:16" ht="15" customHeight="1">
      <c r="B6" s="50" t="s">
        <v>790</v>
      </c>
      <c r="C6" s="51" t="s">
        <v>883</v>
      </c>
      <c r="D6" s="10" t="s">
        <v>115</v>
      </c>
      <c r="E6" s="10" t="s">
        <v>143</v>
      </c>
      <c r="F6" s="10" t="s">
        <v>144</v>
      </c>
      <c r="G6" s="10" t="s">
        <v>145</v>
      </c>
      <c r="H6" s="10" t="s">
        <v>16</v>
      </c>
      <c r="I6" s="10" t="s">
        <v>146</v>
      </c>
      <c r="J6" s="14" t="s">
        <v>147</v>
      </c>
      <c r="K6" s="10" t="s">
        <v>148</v>
      </c>
      <c r="L6" s="11">
        <v>600000</v>
      </c>
      <c r="M6" s="11">
        <v>540000</v>
      </c>
      <c r="N6" s="11"/>
      <c r="O6" s="11">
        <f t="shared" si="0"/>
        <v>60000</v>
      </c>
      <c r="P6" s="12">
        <f t="shared" si="1"/>
        <v>0.1</v>
      </c>
    </row>
    <row r="7" spans="2:16" ht="15" customHeight="1">
      <c r="B7" s="50" t="s">
        <v>791</v>
      </c>
      <c r="C7" s="51" t="s">
        <v>883</v>
      </c>
      <c r="D7" s="10"/>
      <c r="E7" s="10" t="s">
        <v>151</v>
      </c>
      <c r="F7" s="10" t="s">
        <v>152</v>
      </c>
      <c r="G7" s="10" t="s">
        <v>153</v>
      </c>
      <c r="H7" s="10" t="s">
        <v>16</v>
      </c>
      <c r="I7" s="10" t="s">
        <v>154</v>
      </c>
      <c r="J7" s="14" t="s">
        <v>155</v>
      </c>
      <c r="K7" s="10" t="s">
        <v>156</v>
      </c>
      <c r="L7" s="11">
        <v>700000</v>
      </c>
      <c r="M7" s="11">
        <v>650000</v>
      </c>
      <c r="N7" s="11"/>
      <c r="O7" s="11">
        <f t="shared" si="0"/>
        <v>50000</v>
      </c>
      <c r="P7" s="12">
        <f t="shared" si="1"/>
        <v>7.1428571428571425E-2</v>
      </c>
    </row>
    <row r="8" spans="2:16" ht="15" customHeight="1">
      <c r="B8" s="50" t="s">
        <v>792</v>
      </c>
      <c r="C8" s="51" t="s">
        <v>883</v>
      </c>
      <c r="D8" s="10" t="s">
        <v>157</v>
      </c>
      <c r="E8" s="10" t="s">
        <v>158</v>
      </c>
      <c r="F8" s="10" t="s">
        <v>159</v>
      </c>
      <c r="G8" s="10" t="s">
        <v>160</v>
      </c>
      <c r="H8" s="10" t="s">
        <v>16</v>
      </c>
      <c r="I8" s="10" t="s">
        <v>161</v>
      </c>
      <c r="J8" s="29" t="s">
        <v>162</v>
      </c>
      <c r="K8" s="10" t="s">
        <v>163</v>
      </c>
      <c r="L8" s="11">
        <v>480000</v>
      </c>
      <c r="M8" s="11">
        <v>400000</v>
      </c>
      <c r="N8" s="11"/>
      <c r="O8" s="11">
        <f t="shared" si="0"/>
        <v>80000</v>
      </c>
      <c r="P8" s="12">
        <f t="shared" si="1"/>
        <v>0.16666666666666666</v>
      </c>
    </row>
    <row r="9" spans="2:16" ht="15" customHeight="1">
      <c r="B9" s="50" t="s">
        <v>797</v>
      </c>
      <c r="C9" s="51" t="s">
        <v>856</v>
      </c>
      <c r="D9" s="10" t="s">
        <v>149</v>
      </c>
      <c r="E9" s="10" t="s">
        <v>173</v>
      </c>
      <c r="F9" s="10" t="s">
        <v>182</v>
      </c>
      <c r="G9" s="10" t="s">
        <v>183</v>
      </c>
      <c r="H9" s="10" t="s">
        <v>16</v>
      </c>
      <c r="I9" s="10" t="s">
        <v>184</v>
      </c>
      <c r="J9" s="14" t="s">
        <v>185</v>
      </c>
      <c r="K9" s="10" t="s">
        <v>186</v>
      </c>
      <c r="L9" s="11">
        <v>530000</v>
      </c>
      <c r="M9" s="11">
        <v>430000</v>
      </c>
      <c r="N9" s="11"/>
      <c r="O9" s="11">
        <f t="shared" si="0"/>
        <v>100000</v>
      </c>
      <c r="P9" s="12">
        <f t="shared" si="1"/>
        <v>0.18867924528301888</v>
      </c>
    </row>
    <row r="10" spans="2:16" ht="15" customHeight="1">
      <c r="B10" s="50" t="s">
        <v>798</v>
      </c>
      <c r="C10" s="51" t="s">
        <v>857</v>
      </c>
      <c r="D10" s="10" t="s">
        <v>200</v>
      </c>
      <c r="E10" s="10"/>
      <c r="F10" s="10" t="s">
        <v>188</v>
      </c>
      <c r="G10" s="10" t="s">
        <v>201</v>
      </c>
      <c r="H10" s="10" t="s">
        <v>16</v>
      </c>
      <c r="I10" s="10" t="s">
        <v>202</v>
      </c>
      <c r="J10" s="14" t="s">
        <v>203</v>
      </c>
      <c r="K10" s="10" t="s">
        <v>204</v>
      </c>
      <c r="L10" s="11">
        <v>700000</v>
      </c>
      <c r="M10" s="11">
        <v>610000</v>
      </c>
      <c r="N10" s="11"/>
      <c r="O10" s="11">
        <f t="shared" si="0"/>
        <v>90000</v>
      </c>
      <c r="P10" s="12">
        <f t="shared" si="1"/>
        <v>0.12857142857142856</v>
      </c>
    </row>
    <row r="11" spans="2:16" ht="15" customHeight="1">
      <c r="B11" s="50" t="s">
        <v>796</v>
      </c>
      <c r="C11" s="51" t="s">
        <v>856</v>
      </c>
      <c r="D11" s="10" t="s">
        <v>178</v>
      </c>
      <c r="E11" s="10" t="s">
        <v>151</v>
      </c>
      <c r="F11" s="10" t="s">
        <v>180</v>
      </c>
      <c r="G11" s="10" t="s">
        <v>116</v>
      </c>
      <c r="H11" s="10" t="s">
        <v>16</v>
      </c>
      <c r="I11" s="10" t="s">
        <v>70</v>
      </c>
      <c r="J11" s="14" t="s">
        <v>181</v>
      </c>
      <c r="K11" s="10" t="s">
        <v>23</v>
      </c>
      <c r="L11" s="11">
        <v>610000</v>
      </c>
      <c r="M11" s="11">
        <v>500000</v>
      </c>
      <c r="N11" s="11"/>
      <c r="O11" s="11">
        <f t="shared" si="0"/>
        <v>110000</v>
      </c>
      <c r="P11" s="12">
        <f t="shared" si="1"/>
        <v>0.18032786885245902</v>
      </c>
    </row>
    <row r="12" spans="2:16" ht="15" customHeight="1">
      <c r="B12" s="50" t="s">
        <v>809</v>
      </c>
      <c r="C12" s="51" t="s">
        <v>865</v>
      </c>
      <c r="D12" s="10" t="s">
        <v>17</v>
      </c>
      <c r="E12" s="10"/>
      <c r="F12" s="10" t="s">
        <v>273</v>
      </c>
      <c r="G12" s="10" t="s">
        <v>231</v>
      </c>
      <c r="H12" s="10" t="s">
        <v>16</v>
      </c>
      <c r="I12" s="10" t="s">
        <v>274</v>
      </c>
      <c r="J12" s="14" t="s">
        <v>275</v>
      </c>
      <c r="K12" s="10" t="s">
        <v>276</v>
      </c>
      <c r="L12" s="11">
        <v>680000</v>
      </c>
      <c r="M12" s="11">
        <v>550000</v>
      </c>
      <c r="N12" s="11"/>
      <c r="O12" s="11">
        <f t="shared" si="0"/>
        <v>130000</v>
      </c>
      <c r="P12" s="12">
        <f t="shared" si="1"/>
        <v>0.19117647058823528</v>
      </c>
    </row>
    <row r="13" spans="2:16" ht="15" customHeight="1">
      <c r="B13" s="50" t="s">
        <v>812</v>
      </c>
      <c r="C13" s="51" t="s">
        <v>865</v>
      </c>
      <c r="D13" s="10"/>
      <c r="E13" s="10"/>
      <c r="F13" s="10" t="s">
        <v>297</v>
      </c>
      <c r="G13" s="10" t="s">
        <v>298</v>
      </c>
      <c r="H13" s="10" t="s">
        <v>16</v>
      </c>
      <c r="I13" s="10" t="s">
        <v>299</v>
      </c>
      <c r="J13" s="29" t="s">
        <v>300</v>
      </c>
      <c r="K13" s="10" t="s">
        <v>301</v>
      </c>
      <c r="L13" s="11">
        <v>680000</v>
      </c>
      <c r="M13" s="11">
        <v>630000</v>
      </c>
      <c r="N13" s="11"/>
      <c r="O13" s="11">
        <f t="shared" si="0"/>
        <v>50000</v>
      </c>
      <c r="P13" s="12">
        <f t="shared" si="1"/>
        <v>7.3529411764705885E-2</v>
      </c>
    </row>
    <row r="14" spans="2:16" ht="15" customHeight="1">
      <c r="B14" s="50" t="s">
        <v>813</v>
      </c>
      <c r="C14" s="51" t="s">
        <v>867</v>
      </c>
      <c r="D14" s="10" t="s">
        <v>302</v>
      </c>
      <c r="E14" s="10" t="s">
        <v>303</v>
      </c>
      <c r="F14" s="10" t="s">
        <v>304</v>
      </c>
      <c r="G14" s="10" t="s">
        <v>305</v>
      </c>
      <c r="H14" s="10" t="s">
        <v>16</v>
      </c>
      <c r="I14" s="10" t="s">
        <v>306</v>
      </c>
      <c r="J14" s="14" t="s">
        <v>307</v>
      </c>
      <c r="K14" s="10" t="s">
        <v>308</v>
      </c>
      <c r="L14" s="11">
        <v>720000</v>
      </c>
      <c r="M14" s="11">
        <v>670000</v>
      </c>
      <c r="N14" s="11"/>
      <c r="O14" s="11">
        <f t="shared" si="0"/>
        <v>50000</v>
      </c>
      <c r="P14" s="12">
        <f t="shared" si="1"/>
        <v>6.9444444444444448E-2</v>
      </c>
    </row>
    <row r="15" spans="2:16" ht="15" customHeight="1">
      <c r="B15" s="50" t="s">
        <v>819</v>
      </c>
      <c r="C15" s="51" t="s">
        <v>869</v>
      </c>
      <c r="D15" s="10" t="s">
        <v>345</v>
      </c>
      <c r="E15" s="10"/>
      <c r="F15" s="10" t="s">
        <v>346</v>
      </c>
      <c r="G15" s="10" t="s">
        <v>347</v>
      </c>
      <c r="H15" s="10" t="s">
        <v>16</v>
      </c>
      <c r="I15" s="10" t="s">
        <v>348</v>
      </c>
      <c r="J15" s="14" t="s">
        <v>349</v>
      </c>
      <c r="K15" s="10" t="s">
        <v>350</v>
      </c>
      <c r="L15" s="11">
        <v>710000</v>
      </c>
      <c r="M15" s="11">
        <v>610000</v>
      </c>
      <c r="N15" s="11"/>
      <c r="O15" s="11">
        <f t="shared" si="0"/>
        <v>100000</v>
      </c>
      <c r="P15" s="12">
        <f t="shared" si="1"/>
        <v>0.14084507042253522</v>
      </c>
    </row>
    <row r="16" spans="2:16" ht="15" customHeight="1">
      <c r="B16" s="50" t="s">
        <v>818</v>
      </c>
      <c r="C16" s="51" t="s">
        <v>861</v>
      </c>
      <c r="D16" s="10" t="s">
        <v>443</v>
      </c>
      <c r="E16" s="10" t="s">
        <v>444</v>
      </c>
      <c r="F16" s="10" t="s">
        <v>375</v>
      </c>
      <c r="G16" s="10" t="s">
        <v>445</v>
      </c>
      <c r="H16" s="10" t="s">
        <v>16</v>
      </c>
      <c r="I16" s="10" t="s">
        <v>446</v>
      </c>
      <c r="J16" s="14" t="s">
        <v>447</v>
      </c>
      <c r="K16" s="10" t="s">
        <v>448</v>
      </c>
      <c r="L16" s="11">
        <v>690000</v>
      </c>
      <c r="M16" s="11">
        <v>590000</v>
      </c>
      <c r="N16" s="11"/>
      <c r="O16" s="11">
        <f t="shared" si="0"/>
        <v>100000</v>
      </c>
      <c r="P16" s="12">
        <f t="shared" si="1"/>
        <v>0.14492753623188406</v>
      </c>
    </row>
    <row r="17" spans="2:16" ht="15" customHeight="1">
      <c r="B17" s="50" t="s">
        <v>836</v>
      </c>
      <c r="C17" s="51" t="s">
        <v>862</v>
      </c>
      <c r="D17" s="10" t="s">
        <v>527</v>
      </c>
      <c r="E17" s="10"/>
      <c r="F17" s="10" t="s">
        <v>528</v>
      </c>
      <c r="G17" s="10" t="s">
        <v>529</v>
      </c>
      <c r="H17" s="10" t="s">
        <v>16</v>
      </c>
      <c r="I17" s="10" t="s">
        <v>530</v>
      </c>
      <c r="J17" s="14" t="s">
        <v>531</v>
      </c>
      <c r="K17" s="10" t="s">
        <v>532</v>
      </c>
      <c r="L17" s="11">
        <v>710000</v>
      </c>
      <c r="M17" s="11">
        <v>600000</v>
      </c>
      <c r="N17" s="11"/>
      <c r="O17" s="11">
        <f t="shared" si="0"/>
        <v>110000</v>
      </c>
      <c r="P17" s="12">
        <f t="shared" si="1"/>
        <v>0.15492957746478872</v>
      </c>
    </row>
    <row r="18" spans="2:16" ht="15" customHeight="1">
      <c r="B18" s="50" t="s">
        <v>839</v>
      </c>
      <c r="C18" s="51" t="s">
        <v>873</v>
      </c>
      <c r="D18" s="10" t="s">
        <v>534</v>
      </c>
      <c r="E18" s="10"/>
      <c r="F18" s="10" t="s">
        <v>535</v>
      </c>
      <c r="G18" s="10" t="s">
        <v>536</v>
      </c>
      <c r="H18" s="10" t="s">
        <v>16</v>
      </c>
      <c r="I18" s="10" t="s">
        <v>537</v>
      </c>
      <c r="J18" s="14" t="s">
        <v>538</v>
      </c>
      <c r="K18" s="10" t="s">
        <v>539</v>
      </c>
      <c r="L18" s="11">
        <v>550000</v>
      </c>
      <c r="M18" s="11">
        <v>450000</v>
      </c>
      <c r="N18" s="11"/>
      <c r="O18" s="11">
        <f t="shared" si="0"/>
        <v>100000</v>
      </c>
      <c r="P18" s="12">
        <f t="shared" si="1"/>
        <v>0.18181818181818182</v>
      </c>
    </row>
    <row r="19" spans="2:16" ht="15" customHeight="1">
      <c r="B19" s="50" t="s">
        <v>842</v>
      </c>
      <c r="C19" s="51" t="s">
        <v>874</v>
      </c>
      <c r="D19" s="10" t="s">
        <v>584</v>
      </c>
      <c r="E19" s="10"/>
      <c r="F19" s="10" t="s">
        <v>585</v>
      </c>
      <c r="G19" s="10" t="s">
        <v>586</v>
      </c>
      <c r="H19" s="10" t="s">
        <v>16</v>
      </c>
      <c r="I19" s="10" t="s">
        <v>587</v>
      </c>
      <c r="J19" s="14" t="s">
        <v>588</v>
      </c>
      <c r="K19" s="10" t="s">
        <v>589</v>
      </c>
      <c r="L19" s="11">
        <v>660000</v>
      </c>
      <c r="M19" s="11">
        <v>550000</v>
      </c>
      <c r="N19" s="11"/>
      <c r="O19" s="11">
        <f t="shared" si="0"/>
        <v>110000</v>
      </c>
      <c r="P19" s="12">
        <f t="shared" si="1"/>
        <v>0.16666666666666666</v>
      </c>
    </row>
    <row r="20" spans="2:16" ht="15" customHeight="1">
      <c r="B20" s="50" t="s">
        <v>846</v>
      </c>
      <c r="C20" s="51" t="s">
        <v>814</v>
      </c>
      <c r="D20" s="10" t="s">
        <v>151</v>
      </c>
      <c r="E20" s="10"/>
      <c r="F20" s="10" t="s">
        <v>639</v>
      </c>
      <c r="G20" s="10" t="s">
        <v>640</v>
      </c>
      <c r="H20" s="10" t="s">
        <v>16</v>
      </c>
      <c r="I20" s="10" t="s">
        <v>641</v>
      </c>
      <c r="J20" s="14" t="s">
        <v>642</v>
      </c>
      <c r="K20" s="10" t="s">
        <v>643</v>
      </c>
      <c r="L20" s="11">
        <v>720000</v>
      </c>
      <c r="M20" s="11">
        <v>620000</v>
      </c>
      <c r="N20" s="11"/>
      <c r="O20" s="11">
        <f t="shared" si="0"/>
        <v>100000</v>
      </c>
      <c r="P20" s="12">
        <f t="shared" si="1"/>
        <v>0.1388888888888889</v>
      </c>
    </row>
    <row r="21" spans="2:16" ht="15" customHeight="1">
      <c r="B21" s="50" t="s">
        <v>849</v>
      </c>
      <c r="C21" s="51" t="s">
        <v>814</v>
      </c>
      <c r="D21" s="10" t="s">
        <v>682</v>
      </c>
      <c r="E21" s="10"/>
      <c r="F21" s="10" t="s">
        <v>683</v>
      </c>
      <c r="G21" s="10" t="s">
        <v>684</v>
      </c>
      <c r="H21" s="10" t="s">
        <v>16</v>
      </c>
      <c r="I21" s="10" t="s">
        <v>685</v>
      </c>
      <c r="J21" s="14" t="s">
        <v>686</v>
      </c>
      <c r="K21" s="10" t="s">
        <v>687</v>
      </c>
      <c r="L21" s="11">
        <v>680000</v>
      </c>
      <c r="M21" s="11">
        <v>580000</v>
      </c>
      <c r="N21" s="11"/>
      <c r="O21" s="11">
        <f t="shared" si="0"/>
        <v>100000</v>
      </c>
      <c r="P21" s="12">
        <f t="shared" si="1"/>
        <v>0.14705882352941177</v>
      </c>
    </row>
    <row r="22" spans="2:16" ht="15" customHeight="1">
      <c r="B22" s="50" t="s">
        <v>814</v>
      </c>
      <c r="C22" s="51" t="s">
        <v>777</v>
      </c>
      <c r="D22" s="10" t="s">
        <v>151</v>
      </c>
      <c r="E22" s="10"/>
      <c r="F22" s="10" t="s">
        <v>591</v>
      </c>
      <c r="G22" s="10" t="s">
        <v>705</v>
      </c>
      <c r="H22" s="10" t="s">
        <v>16</v>
      </c>
      <c r="I22" s="10" t="s">
        <v>706</v>
      </c>
      <c r="J22" s="14" t="s">
        <v>707</v>
      </c>
      <c r="K22" s="10" t="s">
        <v>526</v>
      </c>
      <c r="L22" s="11">
        <v>690000</v>
      </c>
      <c r="M22" s="11">
        <v>600000</v>
      </c>
      <c r="N22" s="11"/>
      <c r="O22" s="11">
        <f t="shared" si="0"/>
        <v>90000</v>
      </c>
      <c r="P22" s="12">
        <f t="shared" si="1"/>
        <v>0.13043478260869565</v>
      </c>
    </row>
    <row r="23" spans="2:16" ht="15" customHeight="1">
      <c r="B23" s="52" t="s">
        <v>853</v>
      </c>
      <c r="C23" s="53" t="s">
        <v>785</v>
      </c>
      <c r="D23" s="3" t="s">
        <v>742</v>
      </c>
      <c r="E23" s="3"/>
      <c r="F23" s="3" t="s">
        <v>743</v>
      </c>
      <c r="G23" s="3" t="s">
        <v>744</v>
      </c>
      <c r="H23" s="3" t="s">
        <v>16</v>
      </c>
      <c r="I23" s="3" t="s">
        <v>745</v>
      </c>
      <c r="J23" s="46" t="s">
        <v>746</v>
      </c>
      <c r="K23" s="10" t="s">
        <v>350</v>
      </c>
      <c r="L23" s="11">
        <v>670000</v>
      </c>
      <c r="M23" s="11">
        <v>570000</v>
      </c>
      <c r="N23" s="11"/>
      <c r="O23" s="11">
        <f t="shared" si="0"/>
        <v>100000</v>
      </c>
      <c r="P23" s="12">
        <f t="shared" si="1"/>
        <v>0.14925373134328357</v>
      </c>
    </row>
    <row r="24" spans="2:16">
      <c r="K24" s="4" t="s">
        <v>13</v>
      </c>
      <c r="L24" s="5">
        <f>SUM(L5:L23)-SUM(0)</f>
        <v>12340000</v>
      </c>
      <c r="M24" s="5">
        <f>SUM(M5:M23)-SUM(0)</f>
        <v>10650000</v>
      </c>
      <c r="N24" s="5">
        <f>SUM(N5:N23)-SUM(0)</f>
        <v>0</v>
      </c>
      <c r="O24" s="5">
        <f>SUM(O5:O23)-SUM(0)</f>
        <v>1690000</v>
      </c>
      <c r="P24" s="6">
        <f>O24/L24</f>
        <v>0.13695299837925445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P79"/>
  <sheetViews>
    <sheetView workbookViewId="0">
      <pane ySplit="4" topLeftCell="A62" activePane="bottomLeft" state="frozen"/>
      <selection pane="bottomLeft" activeCell="B5" sqref="B5:B78"/>
    </sheetView>
  </sheetViews>
  <sheetFormatPr defaultRowHeight="13.5"/>
  <cols>
    <col min="1" max="1" width="1.75" customWidth="1"/>
    <col min="2" max="11" width="13.625" style="1" customWidth="1"/>
    <col min="12" max="15" width="13.625" style="2" customWidth="1"/>
    <col min="16" max="16" width="13.625" customWidth="1"/>
  </cols>
  <sheetData>
    <row r="4" spans="2:16" s="7" customFormat="1">
      <c r="B4" s="8" t="s">
        <v>0</v>
      </c>
      <c r="C4" s="8" t="s">
        <v>1</v>
      </c>
      <c r="D4" s="8" t="s">
        <v>14</v>
      </c>
      <c r="E4" s="8" t="s">
        <v>4</v>
      </c>
      <c r="F4" s="8" t="s">
        <v>2</v>
      </c>
      <c r="G4" s="8" t="s">
        <v>6</v>
      </c>
      <c r="H4" s="8" t="s">
        <v>3</v>
      </c>
      <c r="I4" s="8" t="s">
        <v>7</v>
      </c>
      <c r="J4" s="8" t="s">
        <v>5</v>
      </c>
      <c r="K4" s="8" t="s">
        <v>15</v>
      </c>
      <c r="L4" s="9" t="s">
        <v>8</v>
      </c>
      <c r="M4" s="9" t="s">
        <v>9</v>
      </c>
      <c r="N4" s="9" t="s">
        <v>11</v>
      </c>
      <c r="O4" s="9" t="s">
        <v>10</v>
      </c>
      <c r="P4" s="9" t="s">
        <v>12</v>
      </c>
    </row>
    <row r="5" spans="2:16">
      <c r="B5" s="50" t="s">
        <v>779</v>
      </c>
      <c r="C5" s="51" t="s">
        <v>884</v>
      </c>
      <c r="D5" s="10"/>
      <c r="E5" s="10" t="s">
        <v>41</v>
      </c>
      <c r="F5" s="10" t="s">
        <v>44</v>
      </c>
      <c r="G5" s="10" t="s">
        <v>45</v>
      </c>
      <c r="H5" s="10" t="s">
        <v>46</v>
      </c>
      <c r="I5" s="10" t="s">
        <v>47</v>
      </c>
      <c r="J5" s="14" t="s">
        <v>48</v>
      </c>
      <c r="K5" s="10" t="s">
        <v>49</v>
      </c>
      <c r="L5" s="11">
        <v>620000</v>
      </c>
      <c r="M5" s="11">
        <v>580000</v>
      </c>
      <c r="N5" s="11"/>
      <c r="O5" s="11">
        <f t="shared" ref="O5:O36" si="0">L5-M5-N5</f>
        <v>40000</v>
      </c>
      <c r="P5" s="12">
        <f t="shared" ref="P5:P36" si="1">IF(VALUE(L5)&lt;=0,0,O5/L5)</f>
        <v>6.4516129032258063E-2</v>
      </c>
    </row>
    <row r="6" spans="2:16">
      <c r="B6" s="50" t="s">
        <v>780</v>
      </c>
      <c r="C6" s="51" t="s">
        <v>885</v>
      </c>
      <c r="D6" s="10" t="s">
        <v>17</v>
      </c>
      <c r="E6" s="10"/>
      <c r="F6" s="10" t="s">
        <v>50</v>
      </c>
      <c r="G6" s="10" t="s">
        <v>51</v>
      </c>
      <c r="H6" s="10" t="s">
        <v>52</v>
      </c>
      <c r="I6" s="10" t="s">
        <v>53</v>
      </c>
      <c r="J6" s="14" t="s">
        <v>54</v>
      </c>
      <c r="K6" s="10" t="s">
        <v>55</v>
      </c>
      <c r="L6" s="11">
        <v>490000</v>
      </c>
      <c r="M6" s="11">
        <v>450000</v>
      </c>
      <c r="N6" s="11"/>
      <c r="O6" s="11">
        <f t="shared" si="0"/>
        <v>40000</v>
      </c>
      <c r="P6" s="12">
        <f t="shared" si="1"/>
        <v>8.1632653061224483E-2</v>
      </c>
    </row>
    <row r="7" spans="2:16">
      <c r="B7" s="50" t="s">
        <v>886</v>
      </c>
      <c r="C7" s="51" t="s">
        <v>887</v>
      </c>
      <c r="D7" s="10" t="s">
        <v>56</v>
      </c>
      <c r="E7" s="10"/>
      <c r="F7" s="10" t="s">
        <v>18</v>
      </c>
      <c r="G7" s="10" t="s">
        <v>57</v>
      </c>
      <c r="H7" s="10" t="s">
        <v>58</v>
      </c>
      <c r="I7" s="10" t="s">
        <v>59</v>
      </c>
      <c r="J7" s="14" t="s">
        <v>60</v>
      </c>
      <c r="K7" s="10" t="s">
        <v>61</v>
      </c>
      <c r="L7" s="11">
        <v>750000</v>
      </c>
      <c r="M7" s="11">
        <v>730000</v>
      </c>
      <c r="N7" s="11"/>
      <c r="O7" s="11">
        <f t="shared" si="0"/>
        <v>20000</v>
      </c>
      <c r="P7" s="12">
        <f t="shared" si="1"/>
        <v>2.6666666666666668E-2</v>
      </c>
    </row>
    <row r="8" spans="2:16">
      <c r="B8" s="50" t="s">
        <v>888</v>
      </c>
      <c r="C8" s="51" t="s">
        <v>889</v>
      </c>
      <c r="D8" s="10" t="s">
        <v>94</v>
      </c>
      <c r="E8" s="10"/>
      <c r="F8" s="10" t="s">
        <v>95</v>
      </c>
      <c r="G8" s="10" t="s">
        <v>96</v>
      </c>
      <c r="H8" s="10" t="s">
        <v>97</v>
      </c>
      <c r="I8" s="10" t="s">
        <v>98</v>
      </c>
      <c r="J8" s="14" t="s">
        <v>99</v>
      </c>
      <c r="K8" s="10" t="s">
        <v>100</v>
      </c>
      <c r="L8" s="11">
        <v>520000</v>
      </c>
      <c r="M8" s="11">
        <v>490000</v>
      </c>
      <c r="N8" s="11"/>
      <c r="O8" s="11">
        <f t="shared" si="0"/>
        <v>30000</v>
      </c>
      <c r="P8" s="12">
        <f t="shared" si="1"/>
        <v>5.7692307692307696E-2</v>
      </c>
    </row>
    <row r="9" spans="2:16">
      <c r="B9" s="50" t="s">
        <v>786</v>
      </c>
      <c r="C9" s="51" t="s">
        <v>890</v>
      </c>
      <c r="D9" s="10"/>
      <c r="E9" s="10"/>
      <c r="F9" s="10" t="s">
        <v>101</v>
      </c>
      <c r="G9" s="10" t="s">
        <v>102</v>
      </c>
      <c r="H9" s="10" t="s">
        <v>103</v>
      </c>
      <c r="I9" s="10" t="s">
        <v>104</v>
      </c>
      <c r="J9" s="14" t="s">
        <v>105</v>
      </c>
      <c r="K9" s="10" t="s">
        <v>106</v>
      </c>
      <c r="L9" s="11">
        <v>680000</v>
      </c>
      <c r="M9" s="11">
        <v>640000</v>
      </c>
      <c r="N9" s="11"/>
      <c r="O9" s="11">
        <f t="shared" si="0"/>
        <v>40000</v>
      </c>
      <c r="P9" s="12">
        <f t="shared" si="1"/>
        <v>5.8823529411764705E-2</v>
      </c>
    </row>
    <row r="10" spans="2:16" ht="13.5" customHeight="1">
      <c r="B10" s="50" t="s">
        <v>789</v>
      </c>
      <c r="C10" s="51" t="s">
        <v>891</v>
      </c>
      <c r="D10" s="10" t="s">
        <v>107</v>
      </c>
      <c r="E10" s="10" t="s">
        <v>108</v>
      </c>
      <c r="F10" s="10" t="s">
        <v>109</v>
      </c>
      <c r="G10" s="10" t="s">
        <v>110</v>
      </c>
      <c r="H10" s="10" t="s">
        <v>111</v>
      </c>
      <c r="I10" s="10" t="s">
        <v>112</v>
      </c>
      <c r="J10" s="14" t="s">
        <v>113</v>
      </c>
      <c r="K10" s="10" t="s">
        <v>114</v>
      </c>
      <c r="L10" s="11">
        <v>720000</v>
      </c>
      <c r="M10" s="11">
        <v>690000</v>
      </c>
      <c r="N10" s="11"/>
      <c r="O10" s="11">
        <f t="shared" si="0"/>
        <v>30000</v>
      </c>
      <c r="P10" s="12">
        <f t="shared" si="1"/>
        <v>4.1666666666666664E-2</v>
      </c>
    </row>
    <row r="11" spans="2:16">
      <c r="B11" s="50" t="s">
        <v>787</v>
      </c>
      <c r="C11" s="51" t="s">
        <v>864</v>
      </c>
      <c r="D11" s="10" t="s">
        <v>122</v>
      </c>
      <c r="E11" s="10" t="s">
        <v>123</v>
      </c>
      <c r="F11" s="10" t="s">
        <v>81</v>
      </c>
      <c r="G11" s="10" t="s">
        <v>82</v>
      </c>
      <c r="H11" s="10" t="s">
        <v>124</v>
      </c>
      <c r="I11" s="10" t="s">
        <v>125</v>
      </c>
      <c r="J11" s="14" t="s">
        <v>126</v>
      </c>
      <c r="K11" s="10" t="s">
        <v>127</v>
      </c>
      <c r="L11" s="11">
        <v>640000</v>
      </c>
      <c r="M11" s="11">
        <v>600000</v>
      </c>
      <c r="N11" s="11"/>
      <c r="O11" s="11">
        <f t="shared" si="0"/>
        <v>40000</v>
      </c>
      <c r="P11" s="12">
        <f t="shared" si="1"/>
        <v>6.25E-2</v>
      </c>
    </row>
    <row r="12" spans="2:16">
      <c r="B12" s="50" t="s">
        <v>789</v>
      </c>
      <c r="C12" s="51" t="s">
        <v>864</v>
      </c>
      <c r="D12" s="10" t="s">
        <v>71</v>
      </c>
      <c r="E12" s="10"/>
      <c r="F12" s="10" t="s">
        <v>135</v>
      </c>
      <c r="G12" s="10" t="s">
        <v>136</v>
      </c>
      <c r="H12" s="10" t="s">
        <v>137</v>
      </c>
      <c r="I12" s="10" t="s">
        <v>138</v>
      </c>
      <c r="J12" s="14" t="s">
        <v>139</v>
      </c>
      <c r="K12" s="10" t="s">
        <v>140</v>
      </c>
      <c r="L12" s="11">
        <v>590000</v>
      </c>
      <c r="M12" s="11">
        <v>550000</v>
      </c>
      <c r="N12" s="11"/>
      <c r="O12" s="11">
        <f t="shared" si="0"/>
        <v>40000</v>
      </c>
      <c r="P12" s="12">
        <f t="shared" si="1"/>
        <v>6.7796610169491525E-2</v>
      </c>
    </row>
    <row r="13" spans="2:16" ht="15" customHeight="1">
      <c r="B13" s="50" t="s">
        <v>794</v>
      </c>
      <c r="C13" s="51" t="s">
        <v>855</v>
      </c>
      <c r="D13" s="10" t="s">
        <v>128</v>
      </c>
      <c r="E13" s="10"/>
      <c r="F13" s="10" t="s">
        <v>167</v>
      </c>
      <c r="G13" s="10" t="s">
        <v>168</v>
      </c>
      <c r="H13" s="10" t="s">
        <v>165</v>
      </c>
      <c r="I13" s="10" t="s">
        <v>166</v>
      </c>
      <c r="J13" s="14" t="s">
        <v>169</v>
      </c>
      <c r="K13" s="10" t="s">
        <v>170</v>
      </c>
      <c r="L13" s="11">
        <v>450000</v>
      </c>
      <c r="M13" s="11">
        <v>420000</v>
      </c>
      <c r="N13" s="11"/>
      <c r="O13" s="11">
        <f t="shared" si="0"/>
        <v>30000</v>
      </c>
      <c r="P13" s="12">
        <f t="shared" si="1"/>
        <v>6.6666666666666666E-2</v>
      </c>
    </row>
    <row r="14" spans="2:16" ht="15" customHeight="1">
      <c r="B14" s="50" t="s">
        <v>795</v>
      </c>
      <c r="C14" s="51" t="s">
        <v>856</v>
      </c>
      <c r="D14" s="10" t="s">
        <v>17</v>
      </c>
      <c r="E14" s="10"/>
      <c r="F14" s="10" t="s">
        <v>175</v>
      </c>
      <c r="G14" s="10" t="s">
        <v>176</v>
      </c>
      <c r="H14" s="10" t="s">
        <v>52</v>
      </c>
      <c r="I14" s="10" t="s">
        <v>120</v>
      </c>
      <c r="J14" s="14" t="s">
        <v>177</v>
      </c>
      <c r="K14" s="34" t="s">
        <v>55</v>
      </c>
      <c r="L14" s="11">
        <v>600000</v>
      </c>
      <c r="M14" s="11">
        <v>570000</v>
      </c>
      <c r="N14" s="11"/>
      <c r="O14" s="11">
        <f t="shared" si="0"/>
        <v>30000</v>
      </c>
      <c r="P14" s="12">
        <f t="shared" si="1"/>
        <v>0.05</v>
      </c>
    </row>
    <row r="15" spans="2:16" ht="15" customHeight="1">
      <c r="B15" s="50" t="s">
        <v>797</v>
      </c>
      <c r="C15" s="51" t="s">
        <v>856</v>
      </c>
      <c r="D15" s="10" t="s">
        <v>190</v>
      </c>
      <c r="E15" s="10"/>
      <c r="F15" s="10" t="s">
        <v>101</v>
      </c>
      <c r="G15" s="10" t="s">
        <v>191</v>
      </c>
      <c r="H15" s="10" t="s">
        <v>192</v>
      </c>
      <c r="I15" s="10" t="s">
        <v>193</v>
      </c>
      <c r="J15" s="29" t="s">
        <v>194</v>
      </c>
      <c r="K15" s="10" t="s">
        <v>195</v>
      </c>
      <c r="L15" s="11">
        <v>610000</v>
      </c>
      <c r="M15" s="11">
        <v>590000</v>
      </c>
      <c r="N15" s="11"/>
      <c r="O15" s="11">
        <f t="shared" si="0"/>
        <v>20000</v>
      </c>
      <c r="P15" s="12">
        <f t="shared" si="1"/>
        <v>3.2786885245901641E-2</v>
      </c>
    </row>
    <row r="16" spans="2:16" ht="15" customHeight="1">
      <c r="B16" s="50" t="s">
        <v>799</v>
      </c>
      <c r="C16" s="51" t="s">
        <v>858</v>
      </c>
      <c r="D16" s="10" t="s">
        <v>209</v>
      </c>
      <c r="E16" s="10"/>
      <c r="F16" s="10" t="s">
        <v>210</v>
      </c>
      <c r="G16" s="10" t="s">
        <v>211</v>
      </c>
      <c r="H16" s="10" t="s">
        <v>165</v>
      </c>
      <c r="I16" s="10" t="s">
        <v>212</v>
      </c>
      <c r="J16" s="14" t="s">
        <v>213</v>
      </c>
      <c r="K16" s="10" t="s">
        <v>214</v>
      </c>
      <c r="L16" s="11">
        <v>610000</v>
      </c>
      <c r="M16" s="11">
        <v>590000</v>
      </c>
      <c r="N16" s="11"/>
      <c r="O16" s="11">
        <f t="shared" si="0"/>
        <v>20000</v>
      </c>
      <c r="P16" s="12">
        <f t="shared" si="1"/>
        <v>3.2786885245901641E-2</v>
      </c>
    </row>
    <row r="17" spans="2:16" ht="15" customHeight="1">
      <c r="B17" s="50" t="s">
        <v>800</v>
      </c>
      <c r="C17" s="51" t="s">
        <v>858</v>
      </c>
      <c r="D17" s="10" t="s">
        <v>215</v>
      </c>
      <c r="E17" s="10"/>
      <c r="F17" s="10" t="s">
        <v>216</v>
      </c>
      <c r="G17" s="10" t="s">
        <v>217</v>
      </c>
      <c r="H17" s="10" t="s">
        <v>218</v>
      </c>
      <c r="I17" s="10" t="s">
        <v>219</v>
      </c>
      <c r="J17" s="14" t="s">
        <v>220</v>
      </c>
      <c r="K17" s="10" t="s">
        <v>221</v>
      </c>
      <c r="L17" s="11">
        <v>590000</v>
      </c>
      <c r="M17" s="11">
        <v>550000</v>
      </c>
      <c r="N17" s="11"/>
      <c r="O17" s="11">
        <f t="shared" si="0"/>
        <v>40000</v>
      </c>
      <c r="P17" s="12">
        <f t="shared" si="1"/>
        <v>6.7796610169491525E-2</v>
      </c>
    </row>
    <row r="18" spans="2:16" ht="15" customHeight="1">
      <c r="B18" s="50" t="s">
        <v>803</v>
      </c>
      <c r="C18" s="51" t="s">
        <v>875</v>
      </c>
      <c r="D18" s="10" t="s">
        <v>238</v>
      </c>
      <c r="E18" s="10"/>
      <c r="F18" s="10" t="s">
        <v>189</v>
      </c>
      <c r="G18" s="10" t="s">
        <v>239</v>
      </c>
      <c r="H18" s="10" t="s">
        <v>62</v>
      </c>
      <c r="I18" s="10" t="s">
        <v>240</v>
      </c>
      <c r="J18" s="14" t="s">
        <v>241</v>
      </c>
      <c r="K18" s="10" t="s">
        <v>242</v>
      </c>
      <c r="L18" s="11">
        <v>730000</v>
      </c>
      <c r="M18" s="11">
        <v>700000</v>
      </c>
      <c r="N18" s="11"/>
      <c r="O18" s="11">
        <f t="shared" si="0"/>
        <v>30000</v>
      </c>
      <c r="P18" s="12">
        <f t="shared" si="1"/>
        <v>4.1095890410958902E-2</v>
      </c>
    </row>
    <row r="19" spans="2:16" ht="15" customHeight="1">
      <c r="B19" s="50" t="s">
        <v>804</v>
      </c>
      <c r="C19" s="51" t="s">
        <v>876</v>
      </c>
      <c r="D19" s="10"/>
      <c r="E19" s="10"/>
      <c r="F19" s="10" t="s">
        <v>243</v>
      </c>
      <c r="G19" s="10" t="s">
        <v>244</v>
      </c>
      <c r="H19" s="10" t="s">
        <v>207</v>
      </c>
      <c r="I19" s="10" t="s">
        <v>112</v>
      </c>
      <c r="J19" s="14" t="s">
        <v>245</v>
      </c>
      <c r="K19" s="10" t="s">
        <v>246</v>
      </c>
      <c r="L19" s="11">
        <v>560000</v>
      </c>
      <c r="M19" s="11">
        <v>530000</v>
      </c>
      <c r="N19" s="11"/>
      <c r="O19" s="11">
        <f t="shared" si="0"/>
        <v>30000</v>
      </c>
      <c r="P19" s="12">
        <f t="shared" si="1"/>
        <v>5.3571428571428568E-2</v>
      </c>
    </row>
    <row r="20" spans="2:16" ht="15" customHeight="1">
      <c r="B20" s="50" t="s">
        <v>805</v>
      </c>
      <c r="C20" s="51" t="s">
        <v>865</v>
      </c>
      <c r="D20" s="10" t="s">
        <v>248</v>
      </c>
      <c r="E20" s="10"/>
      <c r="F20" s="10" t="s">
        <v>249</v>
      </c>
      <c r="G20" s="10" t="s">
        <v>250</v>
      </c>
      <c r="H20" s="10" t="s">
        <v>141</v>
      </c>
      <c r="I20" s="10" t="s">
        <v>251</v>
      </c>
      <c r="J20" s="14" t="s">
        <v>252</v>
      </c>
      <c r="K20" s="10" t="s">
        <v>253</v>
      </c>
      <c r="L20" s="11">
        <v>530000</v>
      </c>
      <c r="M20" s="11">
        <v>490000</v>
      </c>
      <c r="N20" s="11"/>
      <c r="O20" s="11">
        <f t="shared" si="0"/>
        <v>40000</v>
      </c>
      <c r="P20" s="12">
        <f t="shared" si="1"/>
        <v>7.5471698113207544E-2</v>
      </c>
    </row>
    <row r="21" spans="2:16" ht="15" customHeight="1">
      <c r="B21" s="50" t="s">
        <v>805</v>
      </c>
      <c r="C21" s="51" t="s">
        <v>877</v>
      </c>
      <c r="D21" s="10" t="s">
        <v>254</v>
      </c>
      <c r="E21" s="10" t="s">
        <v>255</v>
      </c>
      <c r="F21" s="10" t="s">
        <v>256</v>
      </c>
      <c r="G21" s="10" t="s">
        <v>257</v>
      </c>
      <c r="H21" s="10" t="s">
        <v>258</v>
      </c>
      <c r="I21" s="14" t="s">
        <v>259</v>
      </c>
      <c r="J21" s="14" t="s">
        <v>260</v>
      </c>
      <c r="K21" s="10" t="s">
        <v>261</v>
      </c>
      <c r="L21" s="11">
        <v>650000</v>
      </c>
      <c r="M21" s="11">
        <v>620000</v>
      </c>
      <c r="N21" s="11"/>
      <c r="O21" s="11">
        <f t="shared" si="0"/>
        <v>30000</v>
      </c>
      <c r="P21" s="12">
        <f t="shared" si="1"/>
        <v>4.6153846153846156E-2</v>
      </c>
    </row>
    <row r="22" spans="2:16" ht="15" customHeight="1">
      <c r="B22" s="50" t="s">
        <v>806</v>
      </c>
      <c r="C22" s="51" t="s">
        <v>865</v>
      </c>
      <c r="D22" s="10" t="s">
        <v>262</v>
      </c>
      <c r="E22" s="10"/>
      <c r="F22" s="10" t="s">
        <v>117</v>
      </c>
      <c r="G22" s="10" t="s">
        <v>263</v>
      </c>
      <c r="H22" s="10" t="s">
        <v>264</v>
      </c>
      <c r="I22" s="10" t="s">
        <v>265</v>
      </c>
      <c r="J22" s="14" t="s">
        <v>266</v>
      </c>
      <c r="K22" s="10" t="s">
        <v>119</v>
      </c>
      <c r="L22" s="11">
        <v>620000</v>
      </c>
      <c r="M22" s="11">
        <v>580000</v>
      </c>
      <c r="N22" s="11"/>
      <c r="O22" s="11">
        <f t="shared" si="0"/>
        <v>40000</v>
      </c>
      <c r="P22" s="12">
        <f t="shared" si="1"/>
        <v>6.4516129032258063E-2</v>
      </c>
    </row>
    <row r="23" spans="2:16" ht="15" customHeight="1">
      <c r="B23" s="50" t="s">
        <v>808</v>
      </c>
      <c r="C23" s="51" t="s">
        <v>865</v>
      </c>
      <c r="D23" s="10" t="s">
        <v>267</v>
      </c>
      <c r="E23" s="10"/>
      <c r="F23" s="10" t="s">
        <v>117</v>
      </c>
      <c r="G23" s="10" t="s">
        <v>268</v>
      </c>
      <c r="H23" s="10" t="s">
        <v>269</v>
      </c>
      <c r="I23" s="10" t="s">
        <v>270</v>
      </c>
      <c r="J23" s="14" t="s">
        <v>271</v>
      </c>
      <c r="K23" s="10" t="s">
        <v>272</v>
      </c>
      <c r="L23" s="11">
        <v>580000</v>
      </c>
      <c r="M23" s="11">
        <v>540000</v>
      </c>
      <c r="N23" s="11"/>
      <c r="O23" s="11">
        <f t="shared" si="0"/>
        <v>40000</v>
      </c>
      <c r="P23" s="12">
        <f t="shared" si="1"/>
        <v>6.8965517241379309E-2</v>
      </c>
    </row>
    <row r="24" spans="2:16" ht="15" customHeight="1">
      <c r="B24" s="50" t="s">
        <v>810</v>
      </c>
      <c r="C24" s="51" t="s">
        <v>865</v>
      </c>
      <c r="D24" s="10" t="s">
        <v>223</v>
      </c>
      <c r="E24" s="10" t="s">
        <v>283</v>
      </c>
      <c r="F24" s="10" t="s">
        <v>284</v>
      </c>
      <c r="G24" s="10" t="s">
        <v>285</v>
      </c>
      <c r="H24" s="10" t="s">
        <v>286</v>
      </c>
      <c r="I24" s="10" t="s">
        <v>287</v>
      </c>
      <c r="J24" s="14" t="s">
        <v>288</v>
      </c>
      <c r="K24" s="10" t="s">
        <v>222</v>
      </c>
      <c r="L24" s="11">
        <v>360000</v>
      </c>
      <c r="M24" s="11">
        <v>320000</v>
      </c>
      <c r="N24" s="11"/>
      <c r="O24" s="11">
        <f t="shared" si="0"/>
        <v>40000</v>
      </c>
      <c r="P24" s="12">
        <f t="shared" si="1"/>
        <v>0.1111111111111111</v>
      </c>
    </row>
    <row r="25" spans="2:16" ht="15" customHeight="1">
      <c r="B25" s="50" t="s">
        <v>811</v>
      </c>
      <c r="C25" s="51" t="s">
        <v>866</v>
      </c>
      <c r="D25" s="10" t="s">
        <v>289</v>
      </c>
      <c r="E25" s="10" t="s">
        <v>290</v>
      </c>
      <c r="F25" s="10" t="s">
        <v>291</v>
      </c>
      <c r="G25" s="10" t="s">
        <v>292</v>
      </c>
      <c r="H25" s="10" t="s">
        <v>293</v>
      </c>
      <c r="I25" s="10" t="s">
        <v>294</v>
      </c>
      <c r="J25" s="14" t="s">
        <v>295</v>
      </c>
      <c r="K25" s="10" t="s">
        <v>119</v>
      </c>
      <c r="L25" s="11">
        <v>625000</v>
      </c>
      <c r="M25" s="11">
        <v>580000</v>
      </c>
      <c r="N25" s="11"/>
      <c r="O25" s="11">
        <f t="shared" si="0"/>
        <v>45000</v>
      </c>
      <c r="P25" s="12">
        <f t="shared" si="1"/>
        <v>7.1999999999999995E-2</v>
      </c>
    </row>
    <row r="26" spans="2:16" ht="15" customHeight="1">
      <c r="B26" s="50" t="s">
        <v>815</v>
      </c>
      <c r="C26" s="51" t="s">
        <v>867</v>
      </c>
      <c r="D26" s="10" t="s">
        <v>312</v>
      </c>
      <c r="E26" s="10"/>
      <c r="F26" s="10" t="s">
        <v>313</v>
      </c>
      <c r="G26" s="10" t="s">
        <v>314</v>
      </c>
      <c r="H26" s="10" t="s">
        <v>315</v>
      </c>
      <c r="I26" s="10" t="s">
        <v>166</v>
      </c>
      <c r="J26" s="14" t="s">
        <v>316</v>
      </c>
      <c r="K26" s="10" t="s">
        <v>119</v>
      </c>
      <c r="L26" s="11">
        <v>580000</v>
      </c>
      <c r="M26" s="11">
        <v>550000</v>
      </c>
      <c r="N26" s="11"/>
      <c r="O26" s="11">
        <f t="shared" si="0"/>
        <v>30000</v>
      </c>
      <c r="P26" s="12">
        <f t="shared" si="1"/>
        <v>5.1724137931034482E-2</v>
      </c>
    </row>
    <row r="27" spans="2:16" ht="15" customHeight="1">
      <c r="B27" s="50" t="s">
        <v>816</v>
      </c>
      <c r="C27" s="51" t="s">
        <v>868</v>
      </c>
      <c r="D27" s="10" t="s">
        <v>322</v>
      </c>
      <c r="E27" s="10" t="s">
        <v>323</v>
      </c>
      <c r="F27" s="10" t="s">
        <v>321</v>
      </c>
      <c r="G27" s="10" t="s">
        <v>324</v>
      </c>
      <c r="H27" s="10" t="s">
        <v>325</v>
      </c>
      <c r="I27" s="10" t="s">
        <v>326</v>
      </c>
      <c r="J27" s="14" t="s">
        <v>327</v>
      </c>
      <c r="K27" s="10" t="s">
        <v>328</v>
      </c>
      <c r="L27" s="11">
        <v>350000</v>
      </c>
      <c r="M27" s="11">
        <v>320000</v>
      </c>
      <c r="N27" s="11"/>
      <c r="O27" s="11">
        <f t="shared" si="0"/>
        <v>30000</v>
      </c>
      <c r="P27" s="12">
        <f t="shared" si="1"/>
        <v>8.5714285714285715E-2</v>
      </c>
    </row>
    <row r="28" spans="2:16" ht="15" customHeight="1">
      <c r="B28" s="50" t="s">
        <v>817</v>
      </c>
      <c r="C28" s="51" t="s">
        <v>868</v>
      </c>
      <c r="D28" s="10" t="s">
        <v>115</v>
      </c>
      <c r="E28" s="10" t="s">
        <v>331</v>
      </c>
      <c r="F28" s="10" t="s">
        <v>332</v>
      </c>
      <c r="G28" s="10" t="s">
        <v>333</v>
      </c>
      <c r="H28" s="10" t="s">
        <v>118</v>
      </c>
      <c r="I28" s="10" t="s">
        <v>334</v>
      </c>
      <c r="J28" s="14" t="s">
        <v>335</v>
      </c>
      <c r="K28" s="10" t="s">
        <v>336</v>
      </c>
      <c r="L28" s="11">
        <v>650000</v>
      </c>
      <c r="M28" s="11">
        <v>600000</v>
      </c>
      <c r="N28" s="11"/>
      <c r="O28" s="11">
        <f t="shared" si="0"/>
        <v>50000</v>
      </c>
      <c r="P28" s="12">
        <f t="shared" si="1"/>
        <v>7.6923076923076927E-2</v>
      </c>
    </row>
    <row r="29" spans="2:16" ht="15" customHeight="1">
      <c r="B29" s="50" t="s">
        <v>818</v>
      </c>
      <c r="C29" s="51" t="s">
        <v>868</v>
      </c>
      <c r="D29" s="10" t="s">
        <v>337</v>
      </c>
      <c r="E29" s="10" t="s">
        <v>338</v>
      </c>
      <c r="F29" s="10" t="s">
        <v>339</v>
      </c>
      <c r="G29" s="10" t="s">
        <v>340</v>
      </c>
      <c r="H29" s="10" t="s">
        <v>341</v>
      </c>
      <c r="I29" s="10" t="s">
        <v>342</v>
      </c>
      <c r="J29" s="14" t="s">
        <v>343</v>
      </c>
      <c r="K29" s="10" t="s">
        <v>237</v>
      </c>
      <c r="L29" s="11">
        <v>350000</v>
      </c>
      <c r="M29" s="11">
        <v>320000</v>
      </c>
      <c r="N29" s="11"/>
      <c r="O29" s="11">
        <f t="shared" si="0"/>
        <v>30000</v>
      </c>
      <c r="P29" s="12">
        <f t="shared" si="1"/>
        <v>8.5714285714285715E-2</v>
      </c>
    </row>
    <row r="30" spans="2:16" ht="15" customHeight="1">
      <c r="B30" s="50" t="s">
        <v>820</v>
      </c>
      <c r="C30" s="51" t="s">
        <v>859</v>
      </c>
      <c r="D30" s="10" t="s">
        <v>71</v>
      </c>
      <c r="E30" s="10"/>
      <c r="F30" s="10" t="s">
        <v>354</v>
      </c>
      <c r="G30" s="10" t="s">
        <v>355</v>
      </c>
      <c r="H30" s="10" t="s">
        <v>356</v>
      </c>
      <c r="I30" s="10" t="s">
        <v>357</v>
      </c>
      <c r="J30" s="14" t="s">
        <v>358</v>
      </c>
      <c r="K30" s="10" t="s">
        <v>359</v>
      </c>
      <c r="L30" s="11">
        <v>350000</v>
      </c>
      <c r="M30" s="11">
        <v>320000</v>
      </c>
      <c r="N30" s="11"/>
      <c r="O30" s="11">
        <f t="shared" si="0"/>
        <v>30000</v>
      </c>
      <c r="P30" s="12">
        <f t="shared" si="1"/>
        <v>8.5714285714285715E-2</v>
      </c>
    </row>
    <row r="31" spans="2:16" ht="15" customHeight="1">
      <c r="B31" s="50" t="s">
        <v>821</v>
      </c>
      <c r="C31" s="51" t="s">
        <v>859</v>
      </c>
      <c r="D31" s="10" t="s">
        <v>209</v>
      </c>
      <c r="E31" s="10"/>
      <c r="F31" s="10" t="s">
        <v>360</v>
      </c>
      <c r="G31" s="10" t="s">
        <v>361</v>
      </c>
      <c r="H31" s="10" t="s">
        <v>362</v>
      </c>
      <c r="I31" s="10" t="s">
        <v>363</v>
      </c>
      <c r="J31" s="14" t="s">
        <v>364</v>
      </c>
      <c r="K31" s="10" t="s">
        <v>365</v>
      </c>
      <c r="L31" s="11">
        <v>350000</v>
      </c>
      <c r="M31" s="11">
        <v>320000</v>
      </c>
      <c r="N31" s="11"/>
      <c r="O31" s="11">
        <f t="shared" si="0"/>
        <v>30000</v>
      </c>
      <c r="P31" s="12">
        <f t="shared" si="1"/>
        <v>8.5714285714285715E-2</v>
      </c>
    </row>
    <row r="32" spans="2:16" ht="15" customHeight="1">
      <c r="B32" s="50" t="s">
        <v>820</v>
      </c>
      <c r="C32" s="51" t="s">
        <v>870</v>
      </c>
      <c r="D32" s="10" t="s">
        <v>352</v>
      </c>
      <c r="E32" s="10" t="s">
        <v>224</v>
      </c>
      <c r="F32" s="10" t="s">
        <v>172</v>
      </c>
      <c r="G32" s="10" t="s">
        <v>370</v>
      </c>
      <c r="H32" s="10" t="s">
        <v>371</v>
      </c>
      <c r="I32" s="10" t="s">
        <v>372</v>
      </c>
      <c r="J32" s="14" t="s">
        <v>373</v>
      </c>
      <c r="K32" s="10" t="s">
        <v>374</v>
      </c>
      <c r="L32" s="11">
        <v>520000</v>
      </c>
      <c r="M32" s="11">
        <v>480000</v>
      </c>
      <c r="N32" s="11"/>
      <c r="O32" s="11">
        <f t="shared" si="0"/>
        <v>40000</v>
      </c>
      <c r="P32" s="12">
        <f t="shared" si="1"/>
        <v>7.6923076923076927E-2</v>
      </c>
    </row>
    <row r="33" spans="2:16" ht="15" customHeight="1">
      <c r="B33" s="50" t="s">
        <v>822</v>
      </c>
      <c r="C33" s="51" t="s">
        <v>860</v>
      </c>
      <c r="D33" s="10" t="s">
        <v>71</v>
      </c>
      <c r="E33" s="10"/>
      <c r="F33" s="10" t="s">
        <v>376</v>
      </c>
      <c r="G33" s="10" t="s">
        <v>377</v>
      </c>
      <c r="H33" s="10" t="s">
        <v>371</v>
      </c>
      <c r="I33" s="10" t="s">
        <v>378</v>
      </c>
      <c r="J33" s="14" t="s">
        <v>379</v>
      </c>
      <c r="K33" s="10" t="s">
        <v>93</v>
      </c>
      <c r="L33" s="11">
        <v>600000</v>
      </c>
      <c r="M33" s="11">
        <v>550000</v>
      </c>
      <c r="N33" s="11"/>
      <c r="O33" s="11">
        <f t="shared" si="0"/>
        <v>50000</v>
      </c>
      <c r="P33" s="12">
        <f t="shared" si="1"/>
        <v>8.3333333333333329E-2</v>
      </c>
    </row>
    <row r="34" spans="2:16" ht="15" customHeight="1">
      <c r="B34" s="50" t="s">
        <v>823</v>
      </c>
      <c r="C34" s="51" t="s">
        <v>869</v>
      </c>
      <c r="D34" s="10"/>
      <c r="E34" s="10"/>
      <c r="F34" s="10" t="s">
        <v>380</v>
      </c>
      <c r="G34" s="10" t="s">
        <v>381</v>
      </c>
      <c r="H34" s="10" t="s">
        <v>893</v>
      </c>
      <c r="I34" s="10" t="s">
        <v>895</v>
      </c>
      <c r="J34" s="14" t="s">
        <v>382</v>
      </c>
      <c r="K34" s="10"/>
      <c r="L34" s="11">
        <v>30000</v>
      </c>
      <c r="M34" s="11">
        <v>0</v>
      </c>
      <c r="N34" s="11"/>
      <c r="O34" s="11">
        <f t="shared" si="0"/>
        <v>30000</v>
      </c>
      <c r="P34" s="12">
        <f t="shared" si="1"/>
        <v>1</v>
      </c>
    </row>
    <row r="35" spans="2:16" ht="15" customHeight="1">
      <c r="B35" s="50" t="s">
        <v>820</v>
      </c>
      <c r="C35" s="51" t="s">
        <v>859</v>
      </c>
      <c r="D35" s="10" t="s">
        <v>17</v>
      </c>
      <c r="E35" s="10"/>
      <c r="F35" s="10" t="s">
        <v>389</v>
      </c>
      <c r="G35" s="10" t="s">
        <v>390</v>
      </c>
      <c r="H35" s="10" t="s">
        <v>391</v>
      </c>
      <c r="I35" s="10" t="s">
        <v>392</v>
      </c>
      <c r="J35" s="14" t="s">
        <v>393</v>
      </c>
      <c r="K35" s="10" t="s">
        <v>394</v>
      </c>
      <c r="L35" s="11">
        <v>430000</v>
      </c>
      <c r="M35" s="11">
        <v>400000</v>
      </c>
      <c r="N35" s="11"/>
      <c r="O35" s="11">
        <f t="shared" si="0"/>
        <v>30000</v>
      </c>
      <c r="P35" s="12">
        <f t="shared" si="1"/>
        <v>6.9767441860465115E-2</v>
      </c>
    </row>
    <row r="36" spans="2:16" ht="15" customHeight="1">
      <c r="B36" s="50" t="s">
        <v>824</v>
      </c>
      <c r="C36" s="51" t="s">
        <v>871</v>
      </c>
      <c r="D36" s="10" t="s">
        <v>401</v>
      </c>
      <c r="E36" s="10"/>
      <c r="F36" s="10" t="s">
        <v>402</v>
      </c>
      <c r="G36" s="10" t="s">
        <v>403</v>
      </c>
      <c r="H36" s="10" t="s">
        <v>404</v>
      </c>
      <c r="I36" s="10" t="s">
        <v>405</v>
      </c>
      <c r="J36" s="14" t="s">
        <v>406</v>
      </c>
      <c r="K36" s="10" t="s">
        <v>407</v>
      </c>
      <c r="L36" s="11">
        <v>610000</v>
      </c>
      <c r="M36" s="11">
        <v>580000</v>
      </c>
      <c r="N36" s="11"/>
      <c r="O36" s="11">
        <f t="shared" si="0"/>
        <v>30000</v>
      </c>
      <c r="P36" s="12">
        <f t="shared" si="1"/>
        <v>4.9180327868852458E-2</v>
      </c>
    </row>
    <row r="37" spans="2:16" ht="15" customHeight="1">
      <c r="B37" s="50" t="s">
        <v>824</v>
      </c>
      <c r="C37" s="51" t="s">
        <v>871</v>
      </c>
      <c r="D37" s="10" t="s">
        <v>401</v>
      </c>
      <c r="E37" s="10"/>
      <c r="F37" s="10" t="s">
        <v>408</v>
      </c>
      <c r="G37" s="10" t="s">
        <v>409</v>
      </c>
      <c r="H37" s="10" t="s">
        <v>410</v>
      </c>
      <c r="I37" s="10" t="s">
        <v>411</v>
      </c>
      <c r="J37" s="14" t="s">
        <v>412</v>
      </c>
      <c r="K37" s="10" t="s">
        <v>119</v>
      </c>
      <c r="L37" s="11">
        <v>560000</v>
      </c>
      <c r="M37" s="11">
        <v>520000</v>
      </c>
      <c r="N37" s="11"/>
      <c r="O37" s="11">
        <f t="shared" ref="O37:O68" si="2">L37-M37-N37</f>
        <v>40000</v>
      </c>
      <c r="P37" s="12">
        <f t="shared" ref="P37:P68" si="3">IF(VALUE(L37)&lt;=0,0,O37/L37)</f>
        <v>7.1428571428571425E-2</v>
      </c>
    </row>
    <row r="38" spans="2:16" ht="15" customHeight="1">
      <c r="B38" s="50" t="s">
        <v>825</v>
      </c>
      <c r="C38" s="51" t="s">
        <v>871</v>
      </c>
      <c r="D38" s="10" t="s">
        <v>413</v>
      </c>
      <c r="E38" s="10"/>
      <c r="F38" s="10" t="s">
        <v>414</v>
      </c>
      <c r="G38" s="10" t="s">
        <v>415</v>
      </c>
      <c r="H38" s="10" t="s">
        <v>416</v>
      </c>
      <c r="I38" s="10" t="s">
        <v>417</v>
      </c>
      <c r="J38" s="14" t="s">
        <v>418</v>
      </c>
      <c r="K38" s="10" t="s">
        <v>93</v>
      </c>
      <c r="L38" s="11">
        <v>650000</v>
      </c>
      <c r="M38" s="11">
        <v>610000</v>
      </c>
      <c r="N38" s="11"/>
      <c r="O38" s="11">
        <f t="shared" si="2"/>
        <v>40000</v>
      </c>
      <c r="P38" s="12">
        <f t="shared" si="3"/>
        <v>6.1538461538461542E-2</v>
      </c>
    </row>
    <row r="39" spans="2:16" ht="15" customHeight="1">
      <c r="B39" s="50" t="s">
        <v>827</v>
      </c>
      <c r="C39" s="51" t="s">
        <v>861</v>
      </c>
      <c r="D39" s="10" t="s">
        <v>422</v>
      </c>
      <c r="E39" s="10" t="s">
        <v>423</v>
      </c>
      <c r="F39" s="10" t="s">
        <v>424</v>
      </c>
      <c r="G39" s="10" t="s">
        <v>425</v>
      </c>
      <c r="H39" s="10" t="s">
        <v>426</v>
      </c>
      <c r="I39" s="10" t="s">
        <v>427</v>
      </c>
      <c r="J39" s="14" t="s">
        <v>428</v>
      </c>
      <c r="K39" s="10" t="s">
        <v>429</v>
      </c>
      <c r="L39" s="11">
        <v>520000</v>
      </c>
      <c r="M39" s="11">
        <v>480000</v>
      </c>
      <c r="N39" s="11"/>
      <c r="O39" s="11">
        <f t="shared" si="2"/>
        <v>40000</v>
      </c>
      <c r="P39" s="12">
        <f t="shared" si="3"/>
        <v>7.6923076923076927E-2</v>
      </c>
    </row>
    <row r="40" spans="2:16" ht="15" customHeight="1">
      <c r="B40" s="50" t="s">
        <v>828</v>
      </c>
      <c r="C40" s="51" t="s">
        <v>861</v>
      </c>
      <c r="D40" s="10" t="s">
        <v>432</v>
      </c>
      <c r="E40" s="10"/>
      <c r="F40" s="10" t="s">
        <v>117</v>
      </c>
      <c r="G40" s="10" t="s">
        <v>433</v>
      </c>
      <c r="H40" s="10" t="s">
        <v>434</v>
      </c>
      <c r="I40" s="10" t="s">
        <v>435</v>
      </c>
      <c r="J40" s="14" t="s">
        <v>436</v>
      </c>
      <c r="K40" s="10" t="s">
        <v>119</v>
      </c>
      <c r="L40" s="11">
        <v>630000</v>
      </c>
      <c r="M40" s="11">
        <v>600000</v>
      </c>
      <c r="N40" s="11"/>
      <c r="O40" s="11">
        <f t="shared" si="2"/>
        <v>30000</v>
      </c>
      <c r="P40" s="12">
        <f t="shared" si="3"/>
        <v>4.7619047619047616E-2</v>
      </c>
    </row>
    <row r="41" spans="2:16" ht="15" customHeight="1">
      <c r="B41" s="50" t="s">
        <v>830</v>
      </c>
      <c r="C41" s="51" t="s">
        <v>861</v>
      </c>
      <c r="D41" s="10" t="s">
        <v>450</v>
      </c>
      <c r="E41" s="10"/>
      <c r="F41" s="10" t="s">
        <v>451</v>
      </c>
      <c r="G41" s="10" t="s">
        <v>452</v>
      </c>
      <c r="H41" s="10" t="s">
        <v>453</v>
      </c>
      <c r="I41" s="10" t="s">
        <v>454</v>
      </c>
      <c r="J41" s="14" t="s">
        <v>455</v>
      </c>
      <c r="K41" s="10" t="s">
        <v>456</v>
      </c>
      <c r="L41" s="11">
        <v>670000</v>
      </c>
      <c r="M41" s="11">
        <v>640000</v>
      </c>
      <c r="N41" s="11"/>
      <c r="O41" s="11">
        <f t="shared" si="2"/>
        <v>30000</v>
      </c>
      <c r="P41" s="12">
        <f t="shared" si="3"/>
        <v>4.4776119402985072E-2</v>
      </c>
    </row>
    <row r="42" spans="2:16" ht="15" customHeight="1">
      <c r="B42" s="50" t="s">
        <v>831</v>
      </c>
      <c r="C42" s="51" t="s">
        <v>861</v>
      </c>
      <c r="D42" s="10" t="s">
        <v>457</v>
      </c>
      <c r="E42" s="10" t="s">
        <v>458</v>
      </c>
      <c r="F42" s="10" t="s">
        <v>438</v>
      </c>
      <c r="G42" s="10" t="s">
        <v>459</v>
      </c>
      <c r="H42" s="10" t="s">
        <v>460</v>
      </c>
      <c r="I42" s="10" t="s">
        <v>461</v>
      </c>
      <c r="J42" s="14" t="s">
        <v>462</v>
      </c>
      <c r="K42" s="10" t="s">
        <v>463</v>
      </c>
      <c r="L42" s="11">
        <v>640000</v>
      </c>
      <c r="M42" s="11">
        <v>600000</v>
      </c>
      <c r="N42" s="11"/>
      <c r="O42" s="11">
        <f t="shared" si="2"/>
        <v>40000</v>
      </c>
      <c r="P42" s="12">
        <f t="shared" si="3"/>
        <v>6.25E-2</v>
      </c>
    </row>
    <row r="43" spans="2:16" ht="15" customHeight="1">
      <c r="B43" s="50" t="s">
        <v>832</v>
      </c>
      <c r="C43" s="51" t="s">
        <v>878</v>
      </c>
      <c r="D43" s="10" t="s">
        <v>464</v>
      </c>
      <c r="E43" s="10"/>
      <c r="F43" s="10" t="s">
        <v>465</v>
      </c>
      <c r="G43" s="10" t="s">
        <v>466</v>
      </c>
      <c r="H43" s="10" t="s">
        <v>467</v>
      </c>
      <c r="I43" s="10" t="s">
        <v>468</v>
      </c>
      <c r="J43" s="14" t="s">
        <v>469</v>
      </c>
      <c r="K43" s="10" t="s">
        <v>93</v>
      </c>
      <c r="L43" s="11">
        <v>640000</v>
      </c>
      <c r="M43" s="11">
        <v>610000</v>
      </c>
      <c r="N43" s="11"/>
      <c r="O43" s="11">
        <f t="shared" si="2"/>
        <v>30000</v>
      </c>
      <c r="P43" s="12">
        <f t="shared" si="3"/>
        <v>4.6875E-2</v>
      </c>
    </row>
    <row r="44" spans="2:16" ht="15" customHeight="1">
      <c r="B44" s="50" t="s">
        <v>831</v>
      </c>
      <c r="C44" s="51" t="s">
        <v>862</v>
      </c>
      <c r="D44" s="10" t="s">
        <v>470</v>
      </c>
      <c r="E44" s="10"/>
      <c r="F44" s="10" t="s">
        <v>329</v>
      </c>
      <c r="G44" s="10" t="s">
        <v>471</v>
      </c>
      <c r="H44" s="10" t="s">
        <v>472</v>
      </c>
      <c r="I44" s="10" t="s">
        <v>473</v>
      </c>
      <c r="J44" s="14" t="s">
        <v>474</v>
      </c>
      <c r="K44" s="10" t="s">
        <v>475</v>
      </c>
      <c r="L44" s="11">
        <v>680000</v>
      </c>
      <c r="M44" s="11">
        <v>650000</v>
      </c>
      <c r="N44" s="11"/>
      <c r="O44" s="11">
        <f t="shared" si="2"/>
        <v>30000</v>
      </c>
      <c r="P44" s="12">
        <f t="shared" si="3"/>
        <v>4.4117647058823532E-2</v>
      </c>
    </row>
    <row r="45" spans="2:16" ht="15.6" customHeight="1">
      <c r="B45" s="50" t="s">
        <v>832</v>
      </c>
      <c r="C45" s="51" t="s">
        <v>872</v>
      </c>
      <c r="D45" s="10"/>
      <c r="E45" s="10"/>
      <c r="F45" s="10" t="s">
        <v>476</v>
      </c>
      <c r="G45" s="10" t="s">
        <v>477</v>
      </c>
      <c r="H45" s="10" t="s">
        <v>478</v>
      </c>
      <c r="I45" s="10" t="s">
        <v>479</v>
      </c>
      <c r="J45" s="14" t="s">
        <v>480</v>
      </c>
      <c r="K45" s="10" t="s">
        <v>23</v>
      </c>
      <c r="L45" s="11">
        <v>780000</v>
      </c>
      <c r="M45" s="11">
        <v>750000</v>
      </c>
      <c r="N45" s="11"/>
      <c r="O45" s="11">
        <f t="shared" si="2"/>
        <v>30000</v>
      </c>
      <c r="P45" s="12">
        <f t="shared" si="3"/>
        <v>3.8461538461538464E-2</v>
      </c>
    </row>
    <row r="46" spans="2:16" ht="15" customHeight="1">
      <c r="B46" s="50" t="s">
        <v>833</v>
      </c>
      <c r="C46" s="51" t="s">
        <v>862</v>
      </c>
      <c r="D46" s="10" t="s">
        <v>497</v>
      </c>
      <c r="E46" s="10"/>
      <c r="F46" s="10" t="s">
        <v>210</v>
      </c>
      <c r="G46" s="10" t="s">
        <v>498</v>
      </c>
      <c r="H46" s="10" t="s">
        <v>356</v>
      </c>
      <c r="I46" s="10" t="s">
        <v>485</v>
      </c>
      <c r="J46" s="14" t="s">
        <v>499</v>
      </c>
      <c r="K46" s="10" t="s">
        <v>500</v>
      </c>
      <c r="L46" s="11">
        <v>530000</v>
      </c>
      <c r="M46" s="11">
        <v>500000</v>
      </c>
      <c r="N46" s="11"/>
      <c r="O46" s="11">
        <f t="shared" si="2"/>
        <v>30000</v>
      </c>
      <c r="P46" s="12">
        <f t="shared" si="3"/>
        <v>5.6603773584905662E-2</v>
      </c>
    </row>
    <row r="47" spans="2:16" ht="15" customHeight="1">
      <c r="B47" s="50" t="s">
        <v>833</v>
      </c>
      <c r="C47" s="51" t="s">
        <v>862</v>
      </c>
      <c r="D47" s="10" t="s">
        <v>497</v>
      </c>
      <c r="E47" s="10"/>
      <c r="F47" s="10" t="s">
        <v>210</v>
      </c>
      <c r="G47" s="10" t="s">
        <v>498</v>
      </c>
      <c r="H47" s="10" t="s">
        <v>356</v>
      </c>
      <c r="I47" s="10" t="s">
        <v>485</v>
      </c>
      <c r="J47" s="14" t="s">
        <v>501</v>
      </c>
      <c r="K47" s="10" t="s">
        <v>500</v>
      </c>
      <c r="L47" s="11">
        <v>450000</v>
      </c>
      <c r="M47" s="11">
        <v>410000</v>
      </c>
      <c r="N47" s="11"/>
      <c r="O47" s="11">
        <f t="shared" si="2"/>
        <v>40000</v>
      </c>
      <c r="P47" s="12">
        <f t="shared" si="3"/>
        <v>8.8888888888888892E-2</v>
      </c>
    </row>
    <row r="48" spans="2:16" ht="15" customHeight="1">
      <c r="B48" s="50" t="s">
        <v>834</v>
      </c>
      <c r="C48" s="51" t="s">
        <v>814</v>
      </c>
      <c r="D48" s="10" t="s">
        <v>505</v>
      </c>
      <c r="E48" s="10"/>
      <c r="F48" s="10" t="s">
        <v>506</v>
      </c>
      <c r="G48" s="10" t="s">
        <v>507</v>
      </c>
      <c r="H48" s="10" t="s">
        <v>508</v>
      </c>
      <c r="I48" s="10" t="s">
        <v>509</v>
      </c>
      <c r="J48" s="14" t="s">
        <v>510</v>
      </c>
      <c r="K48" s="10" t="s">
        <v>237</v>
      </c>
      <c r="L48" s="11">
        <v>380000</v>
      </c>
      <c r="M48" s="11">
        <v>350000</v>
      </c>
      <c r="N48" s="11"/>
      <c r="O48" s="11">
        <f t="shared" si="2"/>
        <v>30000</v>
      </c>
      <c r="P48" s="12">
        <f t="shared" si="3"/>
        <v>7.8947368421052627E-2</v>
      </c>
    </row>
    <row r="49" spans="2:16" ht="15" customHeight="1">
      <c r="B49" s="50" t="s">
        <v>836</v>
      </c>
      <c r="C49" s="51" t="s">
        <v>872</v>
      </c>
      <c r="D49" s="10" t="s">
        <v>511</v>
      </c>
      <c r="E49" s="10"/>
      <c r="F49" s="10" t="s">
        <v>512</v>
      </c>
      <c r="G49" s="10" t="s">
        <v>513</v>
      </c>
      <c r="H49" s="10" t="s">
        <v>315</v>
      </c>
      <c r="I49" s="10" t="s">
        <v>166</v>
      </c>
      <c r="J49" s="14" t="s">
        <v>514</v>
      </c>
      <c r="K49" s="10" t="s">
        <v>119</v>
      </c>
      <c r="L49" s="11">
        <v>580000</v>
      </c>
      <c r="M49" s="11">
        <v>540000</v>
      </c>
      <c r="N49" s="11"/>
      <c r="O49" s="11">
        <f t="shared" si="2"/>
        <v>40000</v>
      </c>
      <c r="P49" s="12">
        <f t="shared" si="3"/>
        <v>6.8965517241379309E-2</v>
      </c>
    </row>
    <row r="50" spans="2:16" ht="15" customHeight="1">
      <c r="B50" s="50" t="s">
        <v>837</v>
      </c>
      <c r="C50" s="51" t="s">
        <v>862</v>
      </c>
      <c r="D50" s="10" t="s">
        <v>515</v>
      </c>
      <c r="E50" s="10"/>
      <c r="F50" s="10" t="s">
        <v>210</v>
      </c>
      <c r="G50" s="10" t="s">
        <v>516</v>
      </c>
      <c r="H50" s="10" t="s">
        <v>517</v>
      </c>
      <c r="I50" s="10" t="s">
        <v>518</v>
      </c>
      <c r="J50" s="14" t="s">
        <v>519</v>
      </c>
      <c r="K50" s="10" t="s">
        <v>520</v>
      </c>
      <c r="L50" s="11">
        <v>500000</v>
      </c>
      <c r="M50" s="11">
        <v>470000</v>
      </c>
      <c r="N50" s="11"/>
      <c r="O50" s="11">
        <f t="shared" si="2"/>
        <v>30000</v>
      </c>
      <c r="P50" s="12">
        <f t="shared" si="3"/>
        <v>0.06</v>
      </c>
    </row>
    <row r="51" spans="2:16" ht="15" customHeight="1">
      <c r="B51" s="50" t="s">
        <v>839</v>
      </c>
      <c r="C51" s="51" t="s">
        <v>862</v>
      </c>
      <c r="D51" s="10" t="s">
        <v>541</v>
      </c>
      <c r="E51" s="10"/>
      <c r="F51" s="10" t="s">
        <v>542</v>
      </c>
      <c r="G51" s="10" t="s">
        <v>543</v>
      </c>
      <c r="H51" s="10" t="s">
        <v>544</v>
      </c>
      <c r="I51" s="10" t="s">
        <v>545</v>
      </c>
      <c r="J51" s="14" t="s">
        <v>546</v>
      </c>
      <c r="K51" s="10" t="s">
        <v>547</v>
      </c>
      <c r="L51" s="11">
        <v>630000</v>
      </c>
      <c r="M51" s="11">
        <v>600000</v>
      </c>
      <c r="N51" s="11"/>
      <c r="O51" s="11">
        <f t="shared" si="2"/>
        <v>30000</v>
      </c>
      <c r="P51" s="12">
        <f t="shared" si="3"/>
        <v>4.7619047619047616E-2</v>
      </c>
    </row>
    <row r="52" spans="2:16" ht="15" customHeight="1">
      <c r="B52" s="50" t="s">
        <v>839</v>
      </c>
      <c r="C52" s="51" t="s">
        <v>862</v>
      </c>
      <c r="D52" s="10" t="s">
        <v>549</v>
      </c>
      <c r="E52" s="10"/>
      <c r="F52" s="10" t="s">
        <v>353</v>
      </c>
      <c r="G52" s="10" t="s">
        <v>550</v>
      </c>
      <c r="H52" s="10" t="s">
        <v>551</v>
      </c>
      <c r="I52" s="10" t="s">
        <v>552</v>
      </c>
      <c r="J52" s="14" t="s">
        <v>553</v>
      </c>
      <c r="K52" s="10" t="s">
        <v>359</v>
      </c>
      <c r="L52" s="11">
        <v>370000</v>
      </c>
      <c r="M52" s="11">
        <v>320000</v>
      </c>
      <c r="N52" s="11"/>
      <c r="O52" s="11">
        <f t="shared" si="2"/>
        <v>50000</v>
      </c>
      <c r="P52" s="12">
        <f t="shared" si="3"/>
        <v>0.13513513513513514</v>
      </c>
    </row>
    <row r="53" spans="2:16" ht="15" customHeight="1">
      <c r="B53" s="50" t="s">
        <v>840</v>
      </c>
      <c r="C53" s="51" t="s">
        <v>862</v>
      </c>
      <c r="D53" s="10" t="s">
        <v>554</v>
      </c>
      <c r="E53" s="10"/>
      <c r="F53" s="10" t="s">
        <v>310</v>
      </c>
      <c r="G53" s="10" t="s">
        <v>555</v>
      </c>
      <c r="H53" s="10" t="s">
        <v>556</v>
      </c>
      <c r="I53" s="10" t="s">
        <v>557</v>
      </c>
      <c r="J53" s="14" t="s">
        <v>558</v>
      </c>
      <c r="K53" s="10" t="s">
        <v>559</v>
      </c>
      <c r="L53" s="11">
        <v>550000</v>
      </c>
      <c r="M53" s="11">
        <v>455000</v>
      </c>
      <c r="N53" s="11"/>
      <c r="O53" s="11">
        <f t="shared" si="2"/>
        <v>95000</v>
      </c>
      <c r="P53" s="12">
        <f t="shared" si="3"/>
        <v>0.17272727272727273</v>
      </c>
    </row>
    <row r="54" spans="2:16" ht="15" customHeight="1">
      <c r="B54" s="50" t="s">
        <v>841</v>
      </c>
      <c r="C54" s="51" t="s">
        <v>862</v>
      </c>
      <c r="D54" s="10" t="s">
        <v>174</v>
      </c>
      <c r="E54" s="10" t="s">
        <v>151</v>
      </c>
      <c r="F54" s="10" t="s">
        <v>568</v>
      </c>
      <c r="G54" s="10" t="s">
        <v>569</v>
      </c>
      <c r="H54" s="10" t="s">
        <v>570</v>
      </c>
      <c r="I54" s="10" t="s">
        <v>571</v>
      </c>
      <c r="J54" s="14" t="s">
        <v>572</v>
      </c>
      <c r="K54" s="10" t="s">
        <v>573</v>
      </c>
      <c r="L54" s="11">
        <v>630000</v>
      </c>
      <c r="M54" s="11">
        <v>600000</v>
      </c>
      <c r="N54" s="11"/>
      <c r="O54" s="11">
        <f t="shared" si="2"/>
        <v>30000</v>
      </c>
      <c r="P54" s="12">
        <f t="shared" si="3"/>
        <v>4.7619047619047616E-2</v>
      </c>
    </row>
    <row r="55" spans="2:16" ht="15" customHeight="1">
      <c r="B55" s="50" t="s">
        <v>841</v>
      </c>
      <c r="C55" s="51" t="s">
        <v>862</v>
      </c>
      <c r="D55" s="10" t="s">
        <v>527</v>
      </c>
      <c r="E55" s="10"/>
      <c r="F55" s="10" t="s">
        <v>574</v>
      </c>
      <c r="G55" s="10" t="s">
        <v>575</v>
      </c>
      <c r="H55" s="10" t="s">
        <v>430</v>
      </c>
      <c r="I55" s="10" t="s">
        <v>431</v>
      </c>
      <c r="J55" s="14" t="s">
        <v>576</v>
      </c>
      <c r="K55" s="10" t="s">
        <v>577</v>
      </c>
      <c r="L55" s="11">
        <v>580000</v>
      </c>
      <c r="M55" s="11">
        <v>540000</v>
      </c>
      <c r="N55" s="11"/>
      <c r="O55" s="11">
        <f t="shared" si="2"/>
        <v>40000</v>
      </c>
      <c r="P55" s="12">
        <f t="shared" si="3"/>
        <v>6.8965517241379309E-2</v>
      </c>
    </row>
    <row r="56" spans="2:16" ht="15" customHeight="1">
      <c r="B56" s="50" t="s">
        <v>842</v>
      </c>
      <c r="C56" s="51" t="s">
        <v>814</v>
      </c>
      <c r="D56" s="10" t="s">
        <v>174</v>
      </c>
      <c r="E56" s="10" t="s">
        <v>578</v>
      </c>
      <c r="F56" s="10" t="s">
        <v>424</v>
      </c>
      <c r="G56" s="10" t="s">
        <v>579</v>
      </c>
      <c r="H56" s="10" t="s">
        <v>580</v>
      </c>
      <c r="I56" s="10" t="s">
        <v>581</v>
      </c>
      <c r="J56" s="14" t="s">
        <v>582</v>
      </c>
      <c r="K56" s="10" t="s">
        <v>583</v>
      </c>
      <c r="L56" s="11">
        <v>560000</v>
      </c>
      <c r="M56" s="11">
        <v>530000</v>
      </c>
      <c r="N56" s="11"/>
      <c r="O56" s="11">
        <f t="shared" si="2"/>
        <v>30000</v>
      </c>
      <c r="P56" s="12">
        <f t="shared" si="3"/>
        <v>5.3571428571428568E-2</v>
      </c>
    </row>
    <row r="57" spans="2:16" ht="15" customHeight="1">
      <c r="B57" s="50" t="s">
        <v>843</v>
      </c>
      <c r="C57" s="51" t="s">
        <v>874</v>
      </c>
      <c r="D57" s="10" t="s">
        <v>601</v>
      </c>
      <c r="E57" s="10"/>
      <c r="F57" s="10" t="s">
        <v>602</v>
      </c>
      <c r="G57" s="10" t="s">
        <v>603</v>
      </c>
      <c r="H57" s="10" t="s">
        <v>604</v>
      </c>
      <c r="I57" s="10" t="s">
        <v>605</v>
      </c>
      <c r="J57" s="14" t="s">
        <v>606</v>
      </c>
      <c r="K57" s="10" t="s">
        <v>607</v>
      </c>
      <c r="L57" s="11">
        <v>645000</v>
      </c>
      <c r="M57" s="11">
        <v>620000</v>
      </c>
      <c r="N57" s="11"/>
      <c r="O57" s="11">
        <f t="shared" si="2"/>
        <v>25000</v>
      </c>
      <c r="P57" s="12">
        <f t="shared" si="3"/>
        <v>3.875968992248062E-2</v>
      </c>
    </row>
    <row r="58" spans="2:16" ht="15" customHeight="1">
      <c r="B58" s="50" t="s">
        <v>844</v>
      </c>
      <c r="C58" s="51" t="s">
        <v>873</v>
      </c>
      <c r="D58" s="10" t="s">
        <v>601</v>
      </c>
      <c r="E58" s="10"/>
      <c r="F58" s="10" t="s">
        <v>602</v>
      </c>
      <c r="G58" s="10" t="s">
        <v>603</v>
      </c>
      <c r="H58" s="10" t="s">
        <v>608</v>
      </c>
      <c r="I58" s="10" t="s">
        <v>609</v>
      </c>
      <c r="J58" s="14" t="s">
        <v>610</v>
      </c>
      <c r="K58" s="10" t="s">
        <v>611</v>
      </c>
      <c r="L58" s="11">
        <v>570000</v>
      </c>
      <c r="M58" s="11">
        <v>540000</v>
      </c>
      <c r="N58" s="11"/>
      <c r="O58" s="11">
        <f t="shared" si="2"/>
        <v>30000</v>
      </c>
      <c r="P58" s="12">
        <f t="shared" si="3"/>
        <v>5.2631578947368418E-2</v>
      </c>
    </row>
    <row r="59" spans="2:16" ht="15" customHeight="1">
      <c r="B59" s="50" t="s">
        <v>845</v>
      </c>
      <c r="C59" s="51" t="s">
        <v>814</v>
      </c>
      <c r="D59" s="10" t="s">
        <v>612</v>
      </c>
      <c r="E59" s="10"/>
      <c r="F59" s="10" t="s">
        <v>424</v>
      </c>
      <c r="G59" s="10" t="s">
        <v>613</v>
      </c>
      <c r="H59" s="10" t="s">
        <v>614</v>
      </c>
      <c r="I59" s="10" t="s">
        <v>615</v>
      </c>
      <c r="J59" s="14" t="s">
        <v>616</v>
      </c>
      <c r="K59" s="10" t="s">
        <v>617</v>
      </c>
      <c r="L59" s="11">
        <v>350000</v>
      </c>
      <c r="M59" s="11">
        <v>320000</v>
      </c>
      <c r="N59" s="11"/>
      <c r="O59" s="11">
        <f t="shared" si="2"/>
        <v>30000</v>
      </c>
      <c r="P59" s="12">
        <f t="shared" si="3"/>
        <v>8.5714285714285715E-2</v>
      </c>
    </row>
    <row r="60" spans="2:16" ht="15" customHeight="1">
      <c r="B60" s="50" t="s">
        <v>845</v>
      </c>
      <c r="C60" s="51" t="s">
        <v>814</v>
      </c>
      <c r="D60" s="10" t="s">
        <v>612</v>
      </c>
      <c r="E60" s="10"/>
      <c r="F60" s="10" t="s">
        <v>424</v>
      </c>
      <c r="G60" s="10" t="s">
        <v>613</v>
      </c>
      <c r="H60" s="10" t="s">
        <v>614</v>
      </c>
      <c r="I60" s="10" t="s">
        <v>615</v>
      </c>
      <c r="J60" s="14" t="s">
        <v>618</v>
      </c>
      <c r="K60" s="10" t="s">
        <v>617</v>
      </c>
      <c r="L60" s="11">
        <v>350000</v>
      </c>
      <c r="M60" s="11">
        <v>320000</v>
      </c>
      <c r="N60" s="11"/>
      <c r="O60" s="11">
        <f t="shared" si="2"/>
        <v>30000</v>
      </c>
      <c r="P60" s="12">
        <f t="shared" si="3"/>
        <v>8.5714285714285715E-2</v>
      </c>
    </row>
    <row r="61" spans="2:16" ht="15" customHeight="1">
      <c r="B61" s="50" t="s">
        <v>846</v>
      </c>
      <c r="C61" s="51" t="s">
        <v>873</v>
      </c>
      <c r="D61" s="10" t="s">
        <v>619</v>
      </c>
      <c r="E61" s="10" t="s">
        <v>620</v>
      </c>
      <c r="F61" s="10" t="s">
        <v>465</v>
      </c>
      <c r="G61" s="10" t="s">
        <v>621</v>
      </c>
      <c r="H61" s="10" t="s">
        <v>622</v>
      </c>
      <c r="I61" s="10" t="s">
        <v>623</v>
      </c>
      <c r="J61" s="14" t="s">
        <v>624</v>
      </c>
      <c r="K61" s="10" t="s">
        <v>625</v>
      </c>
      <c r="L61" s="11">
        <v>670000</v>
      </c>
      <c r="M61" s="11">
        <v>640000</v>
      </c>
      <c r="N61" s="11"/>
      <c r="O61" s="11">
        <f t="shared" si="2"/>
        <v>30000</v>
      </c>
      <c r="P61" s="12">
        <f t="shared" si="3"/>
        <v>4.4776119402985072E-2</v>
      </c>
    </row>
    <row r="62" spans="2:16" ht="15" customHeight="1">
      <c r="B62" s="50" t="s">
        <v>846</v>
      </c>
      <c r="C62" s="51" t="s">
        <v>873</v>
      </c>
      <c r="D62" s="10" t="s">
        <v>619</v>
      </c>
      <c r="E62" s="10" t="s">
        <v>620</v>
      </c>
      <c r="F62" s="10" t="s">
        <v>465</v>
      </c>
      <c r="G62" s="10" t="s">
        <v>621</v>
      </c>
      <c r="H62" s="10" t="s">
        <v>58</v>
      </c>
      <c r="I62" s="10" t="s">
        <v>626</v>
      </c>
      <c r="J62" s="14" t="s">
        <v>627</v>
      </c>
      <c r="K62" s="10" t="s">
        <v>625</v>
      </c>
      <c r="L62" s="11">
        <v>600000</v>
      </c>
      <c r="M62" s="11">
        <v>550000</v>
      </c>
      <c r="N62" s="11"/>
      <c r="O62" s="11">
        <f t="shared" si="2"/>
        <v>50000</v>
      </c>
      <c r="P62" s="12">
        <f t="shared" si="3"/>
        <v>8.3333333333333329E-2</v>
      </c>
    </row>
    <row r="63" spans="2:16" ht="15" customHeight="1">
      <c r="B63" s="50" t="s">
        <v>846</v>
      </c>
      <c r="C63" s="51" t="s">
        <v>785</v>
      </c>
      <c r="D63" s="10" t="s">
        <v>628</v>
      </c>
      <c r="E63" s="10"/>
      <c r="F63" s="10" t="s">
        <v>522</v>
      </c>
      <c r="G63" s="10" t="s">
        <v>629</v>
      </c>
      <c r="H63" s="10" t="s">
        <v>630</v>
      </c>
      <c r="I63" s="10" t="s">
        <v>631</v>
      </c>
      <c r="J63" s="14" t="s">
        <v>632</v>
      </c>
      <c r="K63" s="10" t="s">
        <v>633</v>
      </c>
      <c r="L63" s="11">
        <v>600000</v>
      </c>
      <c r="M63" s="11">
        <v>570000</v>
      </c>
      <c r="N63" s="11"/>
      <c r="O63" s="11">
        <f t="shared" si="2"/>
        <v>30000</v>
      </c>
      <c r="P63" s="12">
        <f t="shared" si="3"/>
        <v>0.05</v>
      </c>
    </row>
    <row r="64" spans="2:16" ht="15" customHeight="1">
      <c r="B64" s="50" t="s">
        <v>847</v>
      </c>
      <c r="C64" s="51" t="s">
        <v>814</v>
      </c>
      <c r="D64" s="10" t="s">
        <v>634</v>
      </c>
      <c r="E64" s="10"/>
      <c r="F64" s="10" t="s">
        <v>424</v>
      </c>
      <c r="G64" s="10" t="s">
        <v>635</v>
      </c>
      <c r="H64" s="10" t="s">
        <v>636</v>
      </c>
      <c r="I64" s="10" t="s">
        <v>637</v>
      </c>
      <c r="J64" s="14" t="s">
        <v>638</v>
      </c>
      <c r="K64" s="10" t="s">
        <v>429</v>
      </c>
      <c r="L64" s="11">
        <v>350000</v>
      </c>
      <c r="M64" s="11">
        <v>320000</v>
      </c>
      <c r="N64" s="11"/>
      <c r="O64" s="11">
        <f t="shared" si="2"/>
        <v>30000</v>
      </c>
      <c r="P64" s="12">
        <f t="shared" si="3"/>
        <v>8.5714285714285715E-2</v>
      </c>
    </row>
    <row r="65" spans="2:16" ht="15" customHeight="1">
      <c r="B65" s="50" t="s">
        <v>848</v>
      </c>
      <c r="C65" s="51" t="s">
        <v>873</v>
      </c>
      <c r="D65" s="10" t="s">
        <v>645</v>
      </c>
      <c r="E65" s="10"/>
      <c r="F65" s="10" t="s">
        <v>646</v>
      </c>
      <c r="G65" s="10" t="s">
        <v>647</v>
      </c>
      <c r="H65" s="10" t="s">
        <v>648</v>
      </c>
      <c r="I65" s="10" t="s">
        <v>649</v>
      </c>
      <c r="J65" s="14" t="s">
        <v>650</v>
      </c>
      <c r="K65" s="10" t="s">
        <v>199</v>
      </c>
      <c r="L65" s="11">
        <v>390000</v>
      </c>
      <c r="M65" s="11">
        <v>360000</v>
      </c>
      <c r="N65" s="11"/>
      <c r="O65" s="11">
        <f t="shared" si="2"/>
        <v>30000</v>
      </c>
      <c r="P65" s="12">
        <f t="shared" si="3"/>
        <v>7.6923076923076927E-2</v>
      </c>
    </row>
    <row r="66" spans="2:16" ht="15" customHeight="1">
      <c r="B66" s="50" t="s">
        <v>846</v>
      </c>
      <c r="C66" s="51" t="s">
        <v>814</v>
      </c>
      <c r="D66" s="10" t="s">
        <v>651</v>
      </c>
      <c r="E66" s="10"/>
      <c r="F66" s="10" t="s">
        <v>591</v>
      </c>
      <c r="G66" s="10" t="s">
        <v>652</v>
      </c>
      <c r="H66" s="10" t="s">
        <v>141</v>
      </c>
      <c r="I66" s="10" t="s">
        <v>653</v>
      </c>
      <c r="J66" s="14" t="s">
        <v>654</v>
      </c>
      <c r="K66" s="10" t="s">
        <v>655</v>
      </c>
      <c r="L66" s="11">
        <v>600000</v>
      </c>
      <c r="M66" s="11">
        <v>570000</v>
      </c>
      <c r="N66" s="11"/>
      <c r="O66" s="11">
        <f t="shared" si="2"/>
        <v>30000</v>
      </c>
      <c r="P66" s="12">
        <f t="shared" si="3"/>
        <v>0.05</v>
      </c>
    </row>
    <row r="67" spans="2:16" ht="15" customHeight="1">
      <c r="B67" s="50" t="s">
        <v>846</v>
      </c>
      <c r="C67" s="51" t="s">
        <v>814</v>
      </c>
      <c r="D67" s="10" t="s">
        <v>656</v>
      </c>
      <c r="E67" s="10"/>
      <c r="F67" s="10" t="s">
        <v>657</v>
      </c>
      <c r="G67" s="10" t="s">
        <v>658</v>
      </c>
      <c r="H67" s="10" t="s">
        <v>659</v>
      </c>
      <c r="I67" s="10" t="s">
        <v>660</v>
      </c>
      <c r="J67" s="14" t="s">
        <v>661</v>
      </c>
      <c r="K67" s="10" t="s">
        <v>662</v>
      </c>
      <c r="L67" s="11">
        <v>580000</v>
      </c>
      <c r="M67" s="11">
        <v>550000</v>
      </c>
      <c r="N67" s="11"/>
      <c r="O67" s="11">
        <f t="shared" si="2"/>
        <v>30000</v>
      </c>
      <c r="P67" s="12">
        <f t="shared" si="3"/>
        <v>5.1724137931034482E-2</v>
      </c>
    </row>
    <row r="68" spans="2:16" ht="15" customHeight="1">
      <c r="B68" s="50" t="s">
        <v>846</v>
      </c>
      <c r="C68" s="51" t="s">
        <v>814</v>
      </c>
      <c r="D68" s="10" t="s">
        <v>668</v>
      </c>
      <c r="E68" s="10"/>
      <c r="F68" s="10" t="s">
        <v>669</v>
      </c>
      <c r="G68" s="10" t="s">
        <v>670</v>
      </c>
      <c r="H68" s="10" t="s">
        <v>671</v>
      </c>
      <c r="I68" s="10" t="s">
        <v>672</v>
      </c>
      <c r="J68" s="14" t="s">
        <v>673</v>
      </c>
      <c r="K68" s="10" t="s">
        <v>674</v>
      </c>
      <c r="L68" s="11">
        <v>750000</v>
      </c>
      <c r="M68" s="11">
        <v>720000</v>
      </c>
      <c r="N68" s="11"/>
      <c r="O68" s="11">
        <f t="shared" si="2"/>
        <v>30000</v>
      </c>
      <c r="P68" s="12">
        <f t="shared" si="3"/>
        <v>0.04</v>
      </c>
    </row>
    <row r="69" spans="2:16" ht="15" customHeight="1">
      <c r="B69" s="50" t="s">
        <v>832</v>
      </c>
      <c r="C69" s="51" t="s">
        <v>814</v>
      </c>
      <c r="D69" s="10" t="s">
        <v>17</v>
      </c>
      <c r="E69" s="10"/>
      <c r="F69" s="10" t="s">
        <v>676</v>
      </c>
      <c r="G69" s="10" t="s">
        <v>677</v>
      </c>
      <c r="H69" s="10" t="s">
        <v>678</v>
      </c>
      <c r="I69" s="10" t="s">
        <v>679</v>
      </c>
      <c r="J69" s="14" t="s">
        <v>680</v>
      </c>
      <c r="K69" s="10" t="s">
        <v>681</v>
      </c>
      <c r="L69" s="11">
        <v>630000</v>
      </c>
      <c r="M69" s="11">
        <v>600000</v>
      </c>
      <c r="N69" s="11"/>
      <c r="O69" s="11">
        <f t="shared" ref="O69:O78" si="4">L69-M69-N69</f>
        <v>30000</v>
      </c>
      <c r="P69" s="12">
        <f t="shared" ref="P69:P78" si="5">IF(VALUE(L69)&lt;=0,0,O69/L69)</f>
        <v>4.7619047619047616E-2</v>
      </c>
    </row>
    <row r="70" spans="2:16" ht="15" customHeight="1">
      <c r="B70" s="50" t="s">
        <v>850</v>
      </c>
      <c r="C70" s="51" t="s">
        <v>814</v>
      </c>
      <c r="D70" s="10" t="s">
        <v>695</v>
      </c>
      <c r="E70" s="10"/>
      <c r="F70" s="10" t="s">
        <v>591</v>
      </c>
      <c r="G70" s="10" t="s">
        <v>696</v>
      </c>
      <c r="H70" s="10" t="s">
        <v>503</v>
      </c>
      <c r="I70" s="10" t="s">
        <v>504</v>
      </c>
      <c r="J70" s="14" t="s">
        <v>697</v>
      </c>
      <c r="K70" s="10" t="s">
        <v>698</v>
      </c>
      <c r="L70" s="11">
        <v>590000</v>
      </c>
      <c r="M70" s="11">
        <v>550000</v>
      </c>
      <c r="N70" s="11"/>
      <c r="O70" s="11">
        <f t="shared" si="4"/>
        <v>40000</v>
      </c>
      <c r="P70" s="12">
        <f t="shared" si="5"/>
        <v>6.7796610169491525E-2</v>
      </c>
    </row>
    <row r="71" spans="2:16" ht="15" customHeight="1">
      <c r="B71" s="50" t="s">
        <v>851</v>
      </c>
      <c r="C71" s="51" t="s">
        <v>814</v>
      </c>
      <c r="D71" s="10" t="s">
        <v>699</v>
      </c>
      <c r="E71" s="10"/>
      <c r="F71" s="10" t="s">
        <v>657</v>
      </c>
      <c r="G71" s="10" t="s">
        <v>700</v>
      </c>
      <c r="H71" s="10" t="s">
        <v>701</v>
      </c>
      <c r="I71" s="10" t="s">
        <v>702</v>
      </c>
      <c r="J71" s="14" t="s">
        <v>703</v>
      </c>
      <c r="K71" s="10" t="s">
        <v>704</v>
      </c>
      <c r="L71" s="11">
        <v>580000</v>
      </c>
      <c r="M71" s="11">
        <v>550000</v>
      </c>
      <c r="N71" s="11"/>
      <c r="O71" s="11">
        <f t="shared" si="4"/>
        <v>30000</v>
      </c>
      <c r="P71" s="12">
        <f t="shared" si="5"/>
        <v>5.1724137931034482E-2</v>
      </c>
    </row>
    <row r="72" spans="2:16" ht="15" customHeight="1">
      <c r="B72" s="50" t="s">
        <v>851</v>
      </c>
      <c r="C72" s="51" t="s">
        <v>814</v>
      </c>
      <c r="D72" s="10" t="s">
        <v>710</v>
      </c>
      <c r="E72" s="10" t="s">
        <v>711</v>
      </c>
      <c r="F72" s="10" t="s">
        <v>712</v>
      </c>
      <c r="G72" s="10" t="s">
        <v>713</v>
      </c>
      <c r="H72" s="10" t="s">
        <v>714</v>
      </c>
      <c r="I72" s="10" t="s">
        <v>715</v>
      </c>
      <c r="J72" s="14" t="s">
        <v>716</v>
      </c>
      <c r="K72" s="10" t="s">
        <v>717</v>
      </c>
      <c r="L72" s="11">
        <v>680000</v>
      </c>
      <c r="M72" s="11">
        <v>630000</v>
      </c>
      <c r="N72" s="11"/>
      <c r="O72" s="11">
        <f t="shared" si="4"/>
        <v>50000</v>
      </c>
      <c r="P72" s="12">
        <f t="shared" si="5"/>
        <v>7.3529411764705885E-2</v>
      </c>
    </row>
    <row r="73" spans="2:16" ht="15" customHeight="1">
      <c r="B73" s="50" t="s">
        <v>839</v>
      </c>
      <c r="C73" s="51" t="s">
        <v>814</v>
      </c>
      <c r="D73" s="10" t="s">
        <v>17</v>
      </c>
      <c r="E73" s="10"/>
      <c r="F73" s="10" t="s">
        <v>722</v>
      </c>
      <c r="G73" s="10" t="s">
        <v>723</v>
      </c>
      <c r="H73" s="10" t="s">
        <v>724</v>
      </c>
      <c r="I73" s="10" t="s">
        <v>725</v>
      </c>
      <c r="J73" s="14" t="s">
        <v>726</v>
      </c>
      <c r="K73" s="10" t="s">
        <v>727</v>
      </c>
      <c r="L73" s="11">
        <v>720000</v>
      </c>
      <c r="M73" s="11">
        <v>680000</v>
      </c>
      <c r="N73" s="11"/>
      <c r="O73" s="11">
        <f t="shared" si="4"/>
        <v>40000</v>
      </c>
      <c r="P73" s="12">
        <f t="shared" si="5"/>
        <v>5.5555555555555552E-2</v>
      </c>
    </row>
    <row r="74" spans="2:16" ht="15" customHeight="1">
      <c r="B74" s="50" t="s">
        <v>851</v>
      </c>
      <c r="C74" s="51" t="s">
        <v>785</v>
      </c>
      <c r="D74" s="10" t="s">
        <v>42</v>
      </c>
      <c r="E74" s="10"/>
      <c r="F74" s="10" t="s">
        <v>591</v>
      </c>
      <c r="G74" s="10" t="s">
        <v>592</v>
      </c>
      <c r="H74" s="10" t="s">
        <v>718</v>
      </c>
      <c r="I74" s="10" t="s">
        <v>719</v>
      </c>
      <c r="J74" s="14" t="s">
        <v>720</v>
      </c>
      <c r="K74" s="10" t="s">
        <v>655</v>
      </c>
      <c r="L74" s="11">
        <v>600000</v>
      </c>
      <c r="M74" s="11">
        <v>560000</v>
      </c>
      <c r="N74" s="11"/>
      <c r="O74" s="11">
        <f t="shared" si="4"/>
        <v>40000</v>
      </c>
      <c r="P74" s="12">
        <f t="shared" si="5"/>
        <v>6.6666666666666666E-2</v>
      </c>
    </row>
    <row r="75" spans="2:16" ht="15" customHeight="1">
      <c r="B75" s="50" t="s">
        <v>854</v>
      </c>
      <c r="C75" s="51" t="s">
        <v>777</v>
      </c>
      <c r="D75" s="10" t="s">
        <v>748</v>
      </c>
      <c r="E75" s="10"/>
      <c r="F75" s="10" t="s">
        <v>310</v>
      </c>
      <c r="G75" s="10" t="s">
        <v>311</v>
      </c>
      <c r="H75" s="10" t="s">
        <v>749</v>
      </c>
      <c r="I75" s="10" t="s">
        <v>750</v>
      </c>
      <c r="J75" s="14" t="s">
        <v>751</v>
      </c>
      <c r="K75" s="10" t="s">
        <v>752</v>
      </c>
      <c r="L75" s="11">
        <v>800000</v>
      </c>
      <c r="M75" s="11">
        <v>750000</v>
      </c>
      <c r="N75" s="11"/>
      <c r="O75" s="11">
        <f t="shared" si="4"/>
        <v>50000</v>
      </c>
      <c r="P75" s="12">
        <f t="shared" si="5"/>
        <v>6.25E-2</v>
      </c>
    </row>
    <row r="76" spans="2:16" ht="15" customHeight="1">
      <c r="B76" s="50" t="s">
        <v>852</v>
      </c>
      <c r="C76" s="51" t="s">
        <v>785</v>
      </c>
      <c r="D76" s="10" t="s">
        <v>753</v>
      </c>
      <c r="E76" s="10"/>
      <c r="F76" s="10" t="s">
        <v>754</v>
      </c>
      <c r="G76" s="10" t="s">
        <v>755</v>
      </c>
      <c r="H76" s="10" t="s">
        <v>756</v>
      </c>
      <c r="I76" s="10" t="s">
        <v>757</v>
      </c>
      <c r="J76" s="14" t="s">
        <v>758</v>
      </c>
      <c r="K76" s="10" t="s">
        <v>759</v>
      </c>
      <c r="L76" s="11">
        <v>680000</v>
      </c>
      <c r="M76" s="11">
        <v>650000</v>
      </c>
      <c r="N76" s="11"/>
      <c r="O76" s="11">
        <f t="shared" si="4"/>
        <v>30000</v>
      </c>
      <c r="P76" s="12">
        <f t="shared" si="5"/>
        <v>4.4117647058823532E-2</v>
      </c>
    </row>
    <row r="77" spans="2:16" ht="15" customHeight="1">
      <c r="B77" s="50" t="s">
        <v>852</v>
      </c>
      <c r="C77" s="51" t="s">
        <v>777</v>
      </c>
      <c r="D77" s="10" t="s">
        <v>760</v>
      </c>
      <c r="E77" s="10"/>
      <c r="F77" s="10" t="s">
        <v>761</v>
      </c>
      <c r="G77" s="10" t="s">
        <v>762</v>
      </c>
      <c r="H77" s="10" t="s">
        <v>763</v>
      </c>
      <c r="I77" s="10" t="s">
        <v>764</v>
      </c>
      <c r="J77" s="14" t="s">
        <v>765</v>
      </c>
      <c r="K77" s="10" t="s">
        <v>766</v>
      </c>
      <c r="L77" s="11">
        <v>540000</v>
      </c>
      <c r="M77" s="11">
        <v>510000</v>
      </c>
      <c r="N77" s="11"/>
      <c r="O77" s="11">
        <f t="shared" si="4"/>
        <v>30000</v>
      </c>
      <c r="P77" s="12">
        <f t="shared" si="5"/>
        <v>5.5555555555555552E-2</v>
      </c>
    </row>
    <row r="78" spans="2:16" ht="15" customHeight="1">
      <c r="B78" s="52" t="s">
        <v>852</v>
      </c>
      <c r="C78" s="53" t="s">
        <v>777</v>
      </c>
      <c r="D78" s="3" t="s">
        <v>767</v>
      </c>
      <c r="E78" s="3"/>
      <c r="F78" s="3" t="s">
        <v>768</v>
      </c>
      <c r="G78" s="3" t="s">
        <v>769</v>
      </c>
      <c r="H78" s="3" t="s">
        <v>770</v>
      </c>
      <c r="I78" s="3" t="s">
        <v>771</v>
      </c>
      <c r="J78" s="46" t="s">
        <v>772</v>
      </c>
      <c r="K78" s="10" t="s">
        <v>773</v>
      </c>
      <c r="L78" s="11">
        <v>730000</v>
      </c>
      <c r="M78" s="11">
        <v>700000</v>
      </c>
      <c r="N78" s="11"/>
      <c r="O78" s="11">
        <f t="shared" si="4"/>
        <v>30000</v>
      </c>
      <c r="P78" s="12">
        <f t="shared" si="5"/>
        <v>4.1095890410958902E-2</v>
      </c>
    </row>
    <row r="79" spans="2:16">
      <c r="K79" s="4" t="s">
        <v>13</v>
      </c>
      <c r="L79" s="5">
        <f>SUM(L5:L78)-SUM(0)</f>
        <v>41880000</v>
      </c>
      <c r="M79" s="5">
        <f>SUM(M5:M78)-SUM(0)</f>
        <v>39285000</v>
      </c>
      <c r="N79" s="5">
        <f>SUM(N5:N78)-SUM(0)</f>
        <v>0</v>
      </c>
      <c r="O79" s="5">
        <f>SUM(O5:O78)-SUM(0)</f>
        <v>2595000</v>
      </c>
      <c r="P79" s="6">
        <f>O79/L79</f>
        <v>6.1962750716332379E-2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稼働一覧</vt:lpstr>
      <vt:lpstr>渡辺一覧</vt:lpstr>
      <vt:lpstr>福田一覧</vt:lpstr>
      <vt:lpstr>木村一覧</vt:lpstr>
      <vt:lpstr>大村一覧</vt:lpstr>
      <vt:lpstr>中村一覧</vt:lpstr>
      <vt:lpstr>正社員</vt:lpstr>
      <vt:lpstr>契約社員</vt:lpstr>
      <vt:lpstr>個人事業主</vt:lpstr>
      <vt:lpstr>協力会社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大倉</dc:creator>
  <cp:lastModifiedBy>湯鵬飛</cp:lastModifiedBy>
  <cp:lastPrinted>2017-09-15T10:23:23Z</cp:lastPrinted>
  <dcterms:created xsi:type="dcterms:W3CDTF">2009-06-04T02:31:55Z</dcterms:created>
  <dcterms:modified xsi:type="dcterms:W3CDTF">2021-03-12T07:26:58Z</dcterms:modified>
</cp:coreProperties>
</file>